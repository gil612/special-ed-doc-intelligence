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special-ed-doc-intelligence\data\"/>
    </mc:Choice>
  </mc:AlternateContent>
  <xr:revisionPtr revIDLastSave="0" documentId="8_{0D733164-1BD3-4363-8C4C-6BDFB8D00DC1}" xr6:coauthVersionLast="47" xr6:coauthVersionMax="47" xr10:uidLastSave="{00000000-0000-0000-0000-000000000000}"/>
  <bookViews>
    <workbookView xWindow="-98" yWindow="-98" windowWidth="21795" windowHeight="12975" tabRatio="500" xr2:uid="{00000000-000D-0000-FFFF-FFFF00000000}"/>
  </bookViews>
  <sheets>
    <sheet name="Students_Synthetic" sheetId="1" r:id="rId1"/>
    <sheet name="Real_Schools_Reference" sheetId="2" r:id="rId2"/>
    <sheet name="Schools_Summary" sheetId="3" r:id="rId3"/>
    <sheet name="README" sheetId="4" r:id="rId4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1" i="3" l="1"/>
  <c r="C11" i="3"/>
  <c r="E11" i="3" s="1"/>
  <c r="B11" i="3"/>
  <c r="D10" i="3"/>
  <c r="C10" i="3"/>
  <c r="E10" i="3" s="1"/>
  <c r="B10" i="3"/>
  <c r="D9" i="3"/>
  <c r="C9" i="3"/>
  <c r="E9" i="3" s="1"/>
  <c r="B9" i="3"/>
  <c r="D8" i="3"/>
  <c r="C8" i="3"/>
  <c r="E8" i="3" s="1"/>
  <c r="B8" i="3"/>
  <c r="D7" i="3"/>
  <c r="C7" i="3"/>
  <c r="E7" i="3" s="1"/>
  <c r="B7" i="3"/>
  <c r="D6" i="3"/>
  <c r="C6" i="3"/>
  <c r="E6" i="3" s="1"/>
  <c r="B6" i="3"/>
  <c r="D5" i="3"/>
  <c r="C5" i="3"/>
  <c r="E5" i="3" s="1"/>
  <c r="B5" i="3"/>
  <c r="D4" i="3"/>
  <c r="C4" i="3"/>
  <c r="E4" i="3" s="1"/>
  <c r="B4" i="3"/>
  <c r="D3" i="3"/>
  <c r="C3" i="3"/>
  <c r="E3" i="3" s="1"/>
  <c r="B3" i="3"/>
  <c r="D2" i="3"/>
  <c r="C2" i="3"/>
  <c r="E2" i="3" s="1"/>
  <c r="B2" i="3"/>
</calcChain>
</file>

<file path=xl/sharedStrings.xml><?xml version="1.0" encoding="utf-8"?>
<sst xmlns="http://schemas.openxmlformats.org/spreadsheetml/2006/main" count="890" uniqueCount="368">
  <si>
    <t>student_id</t>
  </si>
  <si>
    <t>fictitious_display_name</t>
  </si>
  <si>
    <t>institution_symbol</t>
  </si>
  <si>
    <t>school_name</t>
  </si>
  <si>
    <t>authority_name</t>
  </si>
  <si>
    <t>school_stage</t>
  </si>
  <si>
    <t>school_year</t>
  </si>
  <si>
    <t>disability_category</t>
  </si>
  <si>
    <t>placement_type</t>
  </si>
  <si>
    <t>weekly_support_hours</t>
  </si>
  <si>
    <t>goals</t>
  </si>
  <si>
    <t>accommodations</t>
  </si>
  <si>
    <t>review_date</t>
  </si>
  <si>
    <t>confidence</t>
  </si>
  <si>
    <t>STU-0001</t>
  </si>
  <si>
    <r>
      <rPr>
        <sz val="11"/>
        <color theme="1"/>
        <rFont val="FreeSans"/>
        <family val="2"/>
      </rPr>
      <t>יעל ח</t>
    </r>
    <r>
      <rPr>
        <sz val="11"/>
        <color theme="1"/>
        <rFont val="Calibri"/>
        <family val="2"/>
        <charset val="1"/>
      </rPr>
      <t>.</t>
    </r>
  </si>
  <si>
    <t>תיכון מכבים רעות</t>
  </si>
  <si>
    <t>מודיעין מכבים רעות</t>
  </si>
  <si>
    <r>
      <rPr>
        <sz val="11"/>
        <color theme="1"/>
        <rFont val="FreeSans"/>
        <family val="2"/>
      </rPr>
      <t>חט</t>
    </r>
    <r>
      <rPr>
        <sz val="11"/>
        <color theme="1"/>
        <rFont val="Calibri"/>
        <family val="2"/>
        <charset val="1"/>
      </rPr>
      <t>"</t>
    </r>
    <r>
      <rPr>
        <sz val="11"/>
        <color theme="1"/>
        <rFont val="FreeSans"/>
        <family val="2"/>
      </rPr>
      <t>ב ועליונה</t>
    </r>
  </si>
  <si>
    <r>
      <rPr>
        <sz val="11"/>
        <color theme="1"/>
        <rFont val="FreeSans"/>
        <family val="2"/>
      </rPr>
      <t>תשפ</t>
    </r>
    <r>
      <rPr>
        <sz val="11"/>
        <color theme="1"/>
        <rFont val="Calibri"/>
        <family val="2"/>
        <charset val="1"/>
      </rPr>
      <t>"</t>
    </r>
    <r>
      <rPr>
        <sz val="11"/>
        <color theme="1"/>
        <rFont val="FreeSans"/>
        <family val="2"/>
      </rPr>
      <t>ד</t>
    </r>
  </si>
  <si>
    <t>לקות למידה</t>
  </si>
  <si>
    <t>הכלה מלאה</t>
  </si>
  <si>
    <r>
      <rPr>
        <sz val="11"/>
        <color theme="1"/>
        <rFont val="FreeSans"/>
        <family val="2"/>
      </rPr>
      <t>שיפור מיומנויות חשבון בסיסיות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שיפור כתיבה ותפקוד בכיתה</t>
    </r>
  </si>
  <si>
    <r>
      <rPr>
        <sz val="11"/>
        <color theme="1"/>
        <rFont val="FreeSans"/>
        <family val="2"/>
      </rPr>
      <t>הארכת זמן במבחנים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הפחתת עומס מטלות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בחינה בעל פה</t>
    </r>
  </si>
  <si>
    <t>STU-0002</t>
  </si>
  <si>
    <r>
      <rPr>
        <sz val="11"/>
        <color theme="1"/>
        <rFont val="FreeSans"/>
        <family val="2"/>
      </rPr>
      <t>נועה ה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</si>
  <si>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 xml:space="preserve">הפרעת קשב וריכוז </t>
    </r>
    <r>
      <rPr>
        <sz val="11"/>
        <color theme="1"/>
        <rFont val="Calibri"/>
        <family val="2"/>
        <charset val="1"/>
      </rPr>
      <t>(ADHD)</t>
    </r>
  </si>
  <si>
    <r>
      <rPr>
        <sz val="11"/>
        <color theme="1"/>
        <rFont val="FreeSans"/>
        <family val="2"/>
      </rPr>
      <t>הכנה למעבר לחטיבת ביניים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שיפור מיומנויות קריאה ופענוח</t>
    </r>
  </si>
  <si>
    <r>
      <rPr>
        <sz val="11"/>
        <color theme="1"/>
        <rFont val="FreeSans"/>
        <family val="2"/>
      </rPr>
      <t>עזרים חזותיים תומכים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הארכת זמן במבחנים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בחינה בעל פה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פירוק הוראות למספר שלבים</t>
    </r>
  </si>
  <si>
    <t>STU-0003</t>
  </si>
  <si>
    <r>
      <rPr>
        <sz val="11"/>
        <color theme="1"/>
        <rFont val="FreeSans"/>
        <family val="2"/>
      </rPr>
      <t>עומר ע</t>
    </r>
    <r>
      <rPr>
        <sz val="11"/>
        <color theme="1"/>
        <rFont val="Calibri"/>
        <family val="2"/>
        <charset val="1"/>
      </rPr>
      <t>.</t>
    </r>
  </si>
  <si>
    <t>הפרעה בספקטרום האוטיסטי</t>
  </si>
  <si>
    <t>הכלה חלקית</t>
  </si>
  <si>
    <r>
      <rPr>
        <sz val="11"/>
        <color theme="1"/>
        <rFont val="FreeSans"/>
        <family val="2"/>
      </rPr>
      <t>הכנה למעבר לחטיבת ביניים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פיתוח מיומנויות חברתיות</t>
    </r>
  </si>
  <si>
    <r>
      <rPr>
        <sz val="11"/>
        <color theme="1"/>
        <rFont val="FreeSans"/>
        <family val="2"/>
      </rPr>
      <t>בחינה בעל פה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הפחתת עומס מטלות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ליווי סייעת חלקי</t>
    </r>
  </si>
  <si>
    <t>STU-0004</t>
  </si>
  <si>
    <r>
      <rPr>
        <sz val="11"/>
        <color theme="1"/>
        <rFont val="FreeSans"/>
        <family val="2"/>
      </rPr>
      <t>תומר ס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</si>
  <si>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לקות מוטורית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FreeSans"/>
        <family val="2"/>
      </rPr>
      <t>פיזית</t>
    </r>
  </si>
  <si>
    <r>
      <rPr>
        <sz val="11"/>
        <color theme="1"/>
        <rFont val="FreeSans"/>
        <family val="2"/>
      </rPr>
      <t>פיתוח שפה ותקשורת פונקציונלית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שיפור קשב וריכוז במטלות לימודיות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פיתוח מיומנויות חברתיות</t>
    </r>
  </si>
  <si>
    <r>
      <rPr>
        <sz val="11"/>
        <color theme="1"/>
        <rFont val="FreeSans"/>
        <family val="2"/>
      </rPr>
      <t>שימוש במחשב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FreeSans"/>
        <family val="2"/>
      </rPr>
      <t>מקלדת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הארכת זמן במבחנים</t>
    </r>
  </si>
  <si>
    <t>STU-0005</t>
  </si>
  <si>
    <r>
      <rPr>
        <sz val="11"/>
        <color theme="1"/>
        <rFont val="FreeSans"/>
        <family val="2"/>
      </rPr>
      <t>תומר כ</t>
    </r>
    <r>
      <rPr>
        <sz val="11"/>
        <color theme="1"/>
        <rFont val="Calibri"/>
        <family val="2"/>
        <charset val="1"/>
      </rPr>
      <t>.</t>
    </r>
  </si>
  <si>
    <t>עיכוב התפתחותי</t>
  </si>
  <si>
    <r>
      <rPr>
        <sz val="11"/>
        <color theme="1"/>
        <rFont val="FreeSans"/>
        <family val="2"/>
      </rPr>
      <t>פיתוח שפה ותקשורת פונקציונלית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חיזוק ויסות רגשי והתנהגותי</t>
    </r>
  </si>
  <si>
    <r>
      <rPr>
        <sz val="11"/>
        <color theme="1"/>
        <rFont val="FreeSans"/>
        <family val="2"/>
      </rPr>
      <t>עזרים חזותיים תומכים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הארכת זמן במבחנים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ליווי סייעת חלקי</t>
    </r>
  </si>
  <si>
    <t>STU-0006</t>
  </si>
  <si>
    <r>
      <rPr>
        <sz val="11"/>
        <color theme="1"/>
        <rFont val="FreeSans"/>
        <family val="2"/>
      </rPr>
      <t>אריאל י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</si>
  <si>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 xml:space="preserve">לקות חושית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>שמיעה</t>
    </r>
  </si>
  <si>
    <r>
      <rPr>
        <sz val="11"/>
        <color theme="1"/>
        <rFont val="FreeSans"/>
        <family val="2"/>
      </rPr>
      <t>שיפור כתיבה ותפקוד בכיתה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שיפור קשב וריכוז במטלות לימודיות</t>
    </r>
  </si>
  <si>
    <r>
      <rPr>
        <sz val="11"/>
        <color theme="1"/>
        <rFont val="FreeSans"/>
        <family val="2"/>
      </rPr>
      <t>בחינה בעל פה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הארכת זמן במבחנים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ליווי סייעת חלקי</t>
    </r>
  </si>
  <si>
    <t>STU-0007</t>
  </si>
  <si>
    <r>
      <rPr>
        <sz val="11"/>
        <color theme="1"/>
        <rFont val="FreeSans"/>
        <family val="2"/>
      </rPr>
      <t>יהונתן מ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</si>
  <si>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חיזוק ויסות רגשי והתנהגותי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שיפור כתיבה ותפקוד בכיתה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עצמאות בתפקוד יומיומי בכיתה</t>
    </r>
  </si>
  <si>
    <r>
      <rPr>
        <sz val="11"/>
        <color theme="1"/>
        <rFont val="FreeSans"/>
        <family val="2"/>
      </rPr>
      <t>שימוש במחשב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FreeSans"/>
        <family val="2"/>
      </rPr>
      <t>מקלדת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עזרים חזותיים תומכים</t>
    </r>
  </si>
  <si>
    <t>STU-0008</t>
  </si>
  <si>
    <r>
      <rPr>
        <sz val="11"/>
        <color theme="1"/>
        <rFont val="FreeSans"/>
        <family val="2"/>
      </rPr>
      <t>שירה ה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</si>
  <si>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כיתה מיוחדת בבי</t>
    </r>
    <r>
      <rPr>
        <sz val="11"/>
        <color theme="1"/>
        <rFont val="Calibri"/>
        <family val="2"/>
        <charset val="1"/>
      </rPr>
      <t>"</t>
    </r>
    <r>
      <rPr>
        <sz val="11"/>
        <color theme="1"/>
        <rFont val="FreeSans"/>
        <family val="2"/>
      </rPr>
      <t>ס רגיל</t>
    </r>
  </si>
  <si>
    <r>
      <rPr>
        <sz val="11"/>
        <color theme="1"/>
        <rFont val="FreeSans"/>
        <family val="2"/>
      </rPr>
      <t>שיפור מיומנויות חשבון בסיסיות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שיפור קשב וריכוז במטלות לימודיות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חיזוק ויסות רגשי והתנהגותי</t>
    </r>
  </si>
  <si>
    <r>
      <rPr>
        <sz val="11"/>
        <color theme="1"/>
        <rFont val="FreeSans"/>
        <family val="2"/>
      </rPr>
      <t>הפחתת עומס מטלות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ליווי סייעת חלקי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שימוש במחשב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FreeSans"/>
        <family val="2"/>
      </rPr>
      <t>מקלדת</t>
    </r>
  </si>
  <si>
    <t>STU-0009</t>
  </si>
  <si>
    <r>
      <rPr>
        <sz val="11"/>
        <color theme="1"/>
        <rFont val="FreeSans"/>
        <family val="2"/>
      </rPr>
      <t>תומר ה</t>
    </r>
    <r>
      <rPr>
        <sz val="11"/>
        <color theme="1"/>
        <rFont val="Calibri"/>
        <family val="2"/>
        <charset val="1"/>
      </rPr>
      <t>.</t>
    </r>
  </si>
  <si>
    <t>מקיף עמק החולה</t>
  </si>
  <si>
    <t>הגליל העליון</t>
  </si>
  <si>
    <r>
      <rPr>
        <sz val="11"/>
        <color theme="1"/>
        <rFont val="FreeSans"/>
        <family val="2"/>
      </rPr>
      <t xml:space="preserve">לקות שכלית התפתחותית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>קלה</t>
    </r>
  </si>
  <si>
    <r>
      <rPr>
        <sz val="11"/>
        <color theme="1"/>
        <rFont val="FreeSans"/>
        <family val="2"/>
      </rPr>
      <t>עצמאות בתפקוד יומיומי בכיתה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חיזוק ויסות רגשי והתנהגותי</t>
    </r>
  </si>
  <si>
    <r>
      <rPr>
        <sz val="11"/>
        <color theme="1"/>
        <rFont val="FreeSans"/>
        <family val="2"/>
      </rPr>
      <t>הפחתת עומס מטלות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הארכת זמן במבחנים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בחינה בעל פה</t>
    </r>
  </si>
  <si>
    <t>STU-0010</t>
  </si>
  <si>
    <r>
      <rPr>
        <sz val="11"/>
        <color theme="1"/>
        <rFont val="FreeSans"/>
        <family val="2"/>
      </rPr>
      <t>יעל ז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</si>
  <si>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שיפור מיומנויות חשבון בסיסיות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שיפור מוטוריקה עדינה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הכנה למעבר לחטיבת ביניים</t>
    </r>
  </si>
  <si>
    <r>
      <rPr>
        <sz val="11"/>
        <color theme="1"/>
        <rFont val="FreeSans"/>
        <family val="2"/>
      </rPr>
      <t>עזרים חזותיים תומכים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הארכת זמן במבחנים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שימוש במחשב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FreeSans"/>
        <family val="2"/>
      </rPr>
      <t>מקלדת</t>
    </r>
  </si>
  <si>
    <t>STU-0011</t>
  </si>
  <si>
    <r>
      <rPr>
        <sz val="11"/>
        <color theme="1"/>
        <rFont val="FreeSans"/>
        <family val="2"/>
      </rPr>
      <t>יהונתן ה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</si>
  <si>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שיפור מיומנויות קריאה ופענוח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חיזוק ויסות רגשי והתנהגותי</t>
    </r>
  </si>
  <si>
    <r>
      <rPr>
        <sz val="11"/>
        <color theme="1"/>
        <rFont val="FreeSans"/>
        <family val="2"/>
      </rPr>
      <t>בחינה בעל פה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ישיבה בקדמת הכיתה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הפחתת עומס מטלות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הארכת זמן במבחנים</t>
    </r>
  </si>
  <si>
    <t>STU-0012</t>
  </si>
  <si>
    <r>
      <rPr>
        <sz val="11"/>
        <color theme="1"/>
        <rFont val="FreeSans"/>
        <family val="2"/>
      </rPr>
      <t>תומר ט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</si>
  <si>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שיפור כתיבה ותפקוד בכיתה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עצמאות בתפקוד יומיומי בכיתה</t>
    </r>
  </si>
  <si>
    <r>
      <rPr>
        <sz val="11"/>
        <color theme="1"/>
        <rFont val="FreeSans"/>
        <family val="2"/>
      </rPr>
      <t>פירוק הוראות למספר שלבים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שימוש במחשב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FreeSans"/>
        <family val="2"/>
      </rPr>
      <t>מקלדת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ישיבה בקדמת הכיתה</t>
    </r>
  </si>
  <si>
    <t>STU-0013</t>
  </si>
  <si>
    <r>
      <rPr>
        <sz val="11"/>
        <color theme="1"/>
        <rFont val="FreeSans"/>
        <family val="2"/>
      </rPr>
      <t>יעל ט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</si>
  <si>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שיפור מיומנויות חשבון בסיסיות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פיתוח שפה ותקשורת פונקציונלית</t>
    </r>
  </si>
  <si>
    <r>
      <rPr>
        <sz val="11"/>
        <color theme="1"/>
        <rFont val="FreeSans"/>
        <family val="2"/>
      </rPr>
      <t>הארכת זמן במבחנים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עזרים חזותיים תומכים</t>
    </r>
  </si>
  <si>
    <t>STU-0014</t>
  </si>
  <si>
    <r>
      <rPr>
        <sz val="11"/>
        <color theme="1"/>
        <rFont val="FreeSans"/>
        <family val="2"/>
      </rPr>
      <t>נועם ט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</si>
  <si>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 xml:space="preserve">לקות חושית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>ראייה</t>
    </r>
  </si>
  <si>
    <r>
      <rPr>
        <sz val="11"/>
        <color theme="1"/>
        <rFont val="FreeSans"/>
        <family val="2"/>
      </rPr>
      <t>פיתוח מיומנויות חברתיות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הכנה למעבר לחטיבת ביניים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שיפור מיומנויות חשבון בסיסיות</t>
    </r>
  </si>
  <si>
    <r>
      <rPr>
        <sz val="11"/>
        <color theme="1"/>
        <rFont val="FreeSans"/>
        <family val="2"/>
      </rPr>
      <t>שימוש במחשב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FreeSans"/>
        <family val="2"/>
      </rPr>
      <t>מקלדת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בחינה בעל פה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הפחתת עומס מטלות</t>
    </r>
  </si>
  <si>
    <t>STU-0015</t>
  </si>
  <si>
    <r>
      <rPr>
        <sz val="11"/>
        <color theme="1"/>
        <rFont val="FreeSans"/>
        <family val="2"/>
      </rPr>
      <t>עדן ר</t>
    </r>
    <r>
      <rPr>
        <sz val="11"/>
        <color theme="1"/>
        <rFont val="Calibri"/>
        <family val="2"/>
        <charset val="1"/>
      </rPr>
      <t>.</t>
    </r>
  </si>
  <si>
    <t>לקות תקשורת ושפה</t>
  </si>
  <si>
    <r>
      <rPr>
        <sz val="11"/>
        <color theme="1"/>
        <rFont val="FreeSans"/>
        <family val="2"/>
      </rPr>
      <t>פיתוח שפה ותקשורת פונקציונלית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הכנה למעבר לחטיבת ביניים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שיפור כתיבה ותפקוד בכיתה</t>
    </r>
  </si>
  <si>
    <r>
      <rPr>
        <sz val="11"/>
        <color theme="1"/>
        <rFont val="FreeSans"/>
        <family val="2"/>
      </rPr>
      <t>בחינה בעל פה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פירוק הוראות למספר שלבים</t>
    </r>
  </si>
  <si>
    <t>STU-0016</t>
  </si>
  <si>
    <r>
      <rPr>
        <sz val="11"/>
        <color theme="1"/>
        <rFont val="FreeSans"/>
        <family val="2"/>
      </rPr>
      <t>יהונתן ס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</si>
  <si>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שיפור כתיבה ותפקוד בכיתה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שיפור מוטוריקה עדינה</t>
    </r>
  </si>
  <si>
    <r>
      <rPr>
        <sz val="11"/>
        <color theme="1"/>
        <rFont val="FreeSans"/>
        <family val="2"/>
      </rPr>
      <t>שימוש במחשב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FreeSans"/>
        <family val="2"/>
      </rPr>
      <t>מקלדת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פירוק הוראות למספר שלבים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בחינה בעל פה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עזרים חזותיים תומכים</t>
    </r>
  </si>
  <si>
    <t>STU-0017</t>
  </si>
  <si>
    <r>
      <rPr>
        <sz val="11"/>
        <color theme="1"/>
        <rFont val="FreeSans"/>
        <family val="2"/>
      </rPr>
      <t>עדן ת</t>
    </r>
    <r>
      <rPr>
        <sz val="11"/>
        <color theme="1"/>
        <rFont val="Calibri"/>
        <family val="2"/>
        <charset val="1"/>
      </rPr>
      <t>.</t>
    </r>
  </si>
  <si>
    <t>קמפוס פרס חדשנות ומנהיגות</t>
  </si>
  <si>
    <t>יקנעם עילית</t>
  </si>
  <si>
    <r>
      <rPr>
        <sz val="11"/>
        <color theme="1"/>
        <rFont val="FreeSans"/>
        <family val="2"/>
      </rPr>
      <t>פירוק הוראות למספר שלבים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עזרים חזותיים תומכים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ליווי סייעת חלקי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בחינה בעל פה</t>
    </r>
  </si>
  <si>
    <t>STU-0018</t>
  </si>
  <si>
    <r>
      <rPr>
        <sz val="11"/>
        <color theme="1"/>
        <rFont val="FreeSans"/>
        <family val="2"/>
      </rPr>
      <t>שירה ק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</si>
  <si>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שיפור מיומנויות קריאה ופענוח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שיפור כתיבה ותפקוד בכיתה</t>
    </r>
  </si>
  <si>
    <r>
      <rPr>
        <sz val="11"/>
        <color theme="1"/>
        <rFont val="FreeSans"/>
        <family val="2"/>
      </rPr>
      <t>ישיבה בקדמת הכיתה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שימוש במחשב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FreeSans"/>
        <family val="2"/>
      </rPr>
      <t>מקלדת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בחינה בעל פה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ליווי סייעת חלקי</t>
    </r>
  </si>
  <si>
    <t>STU-0019</t>
  </si>
  <si>
    <r>
      <rPr>
        <sz val="11"/>
        <color theme="1"/>
        <rFont val="FreeSans"/>
        <family val="2"/>
      </rPr>
      <t>אביגיל ר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</si>
  <si>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עצמאות בתפקוד יומיומי בכיתה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שיפור מיומנויות חשבון בסיסיות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שיפור מוטוריקה עדינה</t>
    </r>
  </si>
  <si>
    <r>
      <rPr>
        <sz val="11"/>
        <color theme="1"/>
        <rFont val="FreeSans"/>
        <family val="2"/>
      </rPr>
      <t>ישיבה בקדמת הכיתה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הפחתת עומס מטלות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בחינה בעל פה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עזרים חזותיים תומכים</t>
    </r>
  </si>
  <si>
    <t>STU-0020</t>
  </si>
  <si>
    <r>
      <rPr>
        <sz val="11"/>
        <color theme="1"/>
        <rFont val="FreeSans"/>
        <family val="2"/>
      </rPr>
      <t>ליאור ב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</si>
  <si>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שיפור מיומנויות חשבון בסיסיות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שיפור מיומנויות קריאה ופענוח</t>
    </r>
  </si>
  <si>
    <r>
      <rPr>
        <sz val="11"/>
        <color theme="1"/>
        <rFont val="FreeSans"/>
        <family val="2"/>
      </rPr>
      <t>פירוק הוראות למספר שלבים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עזרים חזותיים תומכים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הארכת זמן במבחנים</t>
    </r>
  </si>
  <si>
    <t>STU-0021</t>
  </si>
  <si>
    <r>
      <rPr>
        <sz val="11"/>
        <color theme="1"/>
        <rFont val="FreeSans"/>
        <family val="2"/>
      </rPr>
      <t>שירה 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</si>
  <si>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עצמאות בתפקוד יומיומי בכיתה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פיתוח שפה ותקשורת פונקציונלית</t>
    </r>
  </si>
  <si>
    <r>
      <rPr>
        <sz val="11"/>
        <color theme="1"/>
        <rFont val="FreeSans"/>
        <family val="2"/>
      </rPr>
      <t>שימוש במחשב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FreeSans"/>
        <family val="2"/>
      </rPr>
      <t>מקלדת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ליווי סייעת חלקי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ישיבה בקדמת הכיתה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פירוק הוראות למספר שלבים</t>
    </r>
  </si>
  <si>
    <t>STU-0022</t>
  </si>
  <si>
    <r>
      <rPr>
        <sz val="11"/>
        <color theme="1"/>
        <rFont val="FreeSans"/>
        <family val="2"/>
      </rPr>
      <t>עומר ת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</si>
  <si>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שיפור מוטוריקה עדינה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שיפור כתיבה ותפקוד בכיתה</t>
    </r>
  </si>
  <si>
    <r>
      <rPr>
        <sz val="11"/>
        <color theme="1"/>
        <rFont val="FreeSans"/>
        <family val="2"/>
      </rPr>
      <t>פירוק הוראות למספר שלבים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ישיבה בקדמת הכיתה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הארכת זמן במבחנים</t>
    </r>
  </si>
  <si>
    <t>STU-0023</t>
  </si>
  <si>
    <r>
      <rPr>
        <sz val="11"/>
        <color theme="1"/>
        <rFont val="FreeSans"/>
        <family val="2"/>
      </rPr>
      <t>שירה ו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</si>
  <si>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שיפור קשב וריכוז במטלות לימודיות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חיזוק ויסות רגשי והתנהגותי</t>
    </r>
  </si>
  <si>
    <r>
      <rPr>
        <sz val="11"/>
        <color theme="1"/>
        <rFont val="FreeSans"/>
        <family val="2"/>
      </rPr>
      <t>שימוש במחשב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FreeSans"/>
        <family val="2"/>
      </rPr>
      <t>מקלדת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ליווי סייעת חלקי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הארכת זמן במבחנים</t>
    </r>
  </si>
  <si>
    <t>STU-0024</t>
  </si>
  <si>
    <r>
      <rPr>
        <sz val="11"/>
        <color theme="1"/>
        <rFont val="FreeSans"/>
        <family val="2"/>
      </rPr>
      <t>נועם מ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</si>
  <si>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פיתוח שפה ותקשורת פונקציונלית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הכנה למעבר לחטיבת ביניים</t>
    </r>
  </si>
  <si>
    <r>
      <rPr>
        <sz val="11"/>
        <color theme="1"/>
        <rFont val="FreeSans"/>
        <family val="2"/>
      </rPr>
      <t>ליווי סייעת חלקי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הארכת זמן במבחנים</t>
    </r>
  </si>
  <si>
    <t>STU-0025</t>
  </si>
  <si>
    <r>
      <rPr>
        <sz val="11"/>
        <color theme="1"/>
        <rFont val="FreeSans"/>
        <family val="2"/>
      </rPr>
      <t>דניאל נ</t>
    </r>
    <r>
      <rPr>
        <sz val="11"/>
        <color theme="1"/>
        <rFont val="Calibri"/>
        <family val="2"/>
        <charset val="1"/>
      </rPr>
      <t>.</t>
    </r>
  </si>
  <si>
    <t>כל ישראל חברים</t>
  </si>
  <si>
    <t>חיפה</t>
  </si>
  <si>
    <r>
      <rPr>
        <sz val="11"/>
        <color theme="1"/>
        <rFont val="FreeSans"/>
        <family val="2"/>
      </rPr>
      <t>פיתוח מיומנויות חברתיות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שיפור כתיבה ותפקוד בכיתה</t>
    </r>
  </si>
  <si>
    <r>
      <rPr>
        <sz val="11"/>
        <color theme="1"/>
        <rFont val="FreeSans"/>
        <family val="2"/>
      </rPr>
      <t>הפחתת עומס מטלות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ישיבה בקדמת הכיתה</t>
    </r>
  </si>
  <si>
    <t>STU-0026</t>
  </si>
  <si>
    <r>
      <rPr>
        <sz val="11"/>
        <color theme="1"/>
        <rFont val="FreeSans"/>
        <family val="2"/>
      </rPr>
      <t>פיתוח שפה ותקשורת פונקציונלית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שיפור כתיבה ותפקוד בכיתה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שיפור קשב וריכוז במטלות לימודיות</t>
    </r>
  </si>
  <si>
    <r>
      <rPr>
        <sz val="11"/>
        <color theme="1"/>
        <rFont val="FreeSans"/>
        <family val="2"/>
      </rPr>
      <t>ישיבה בקדמת הכיתה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שימוש במחשב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FreeSans"/>
        <family val="2"/>
      </rPr>
      <t>מקלדת</t>
    </r>
  </si>
  <si>
    <t>STU-0027</t>
  </si>
  <si>
    <r>
      <rPr>
        <sz val="11"/>
        <color theme="1"/>
        <rFont val="FreeSans"/>
        <family val="2"/>
      </rPr>
      <t>אביגיל ט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</si>
  <si>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שיפור מיומנויות קריאה ופענוח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פיתוח שפה ותקשורת פונקציונלית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שיפור מוטוריקה עדינה</t>
    </r>
  </si>
  <si>
    <r>
      <rPr>
        <sz val="11"/>
        <color theme="1"/>
        <rFont val="FreeSans"/>
        <family val="2"/>
      </rPr>
      <t>ישיבה בקדמת הכיתה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הארכת זמן במבחנים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הפחתת עומס מטלות</t>
    </r>
  </si>
  <si>
    <t>STU-0028</t>
  </si>
  <si>
    <r>
      <rPr>
        <sz val="11"/>
        <color theme="1"/>
        <rFont val="FreeSans"/>
        <family val="2"/>
      </rPr>
      <t>עומר 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</si>
  <si>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 xml:space="preserve">לקות שכלית התפתחותית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>בינונית</t>
    </r>
  </si>
  <si>
    <r>
      <rPr>
        <sz val="11"/>
        <color theme="1"/>
        <rFont val="FreeSans"/>
        <family val="2"/>
      </rPr>
      <t>שיפור קשב וריכוז במטלות לימודיות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עצמאות בתפקוד יומיומי בכיתה</t>
    </r>
  </si>
  <si>
    <r>
      <rPr>
        <sz val="11"/>
        <color theme="1"/>
        <rFont val="FreeSans"/>
        <family val="2"/>
      </rPr>
      <t>ישיבה בקדמת הכיתה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פירוק הוראות למספר שלבים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עזרים חזותיים תומכים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הארכת זמן במבחנים</t>
    </r>
  </si>
  <si>
    <t>STU-0029</t>
  </si>
  <si>
    <r>
      <rPr>
        <sz val="11"/>
        <color theme="1"/>
        <rFont val="FreeSans"/>
        <family val="2"/>
      </rPr>
      <t>יהונתן ל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</si>
  <si>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שיפור מיומנויות חשבון בסיסיות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שיפור מוטוריקה עדינה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שיפור קשב וריכוז במטלות לימודיות</t>
    </r>
  </si>
  <si>
    <r>
      <rPr>
        <sz val="11"/>
        <color theme="1"/>
        <rFont val="FreeSans"/>
        <family val="2"/>
      </rPr>
      <t>שימוש במחשב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FreeSans"/>
        <family val="2"/>
      </rPr>
      <t>מקלדת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בחינה בעל פה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ישיבה בקדמת הכיתה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עזרים חזותיים תומכים</t>
    </r>
  </si>
  <si>
    <t>STU-0030</t>
  </si>
  <si>
    <r>
      <rPr>
        <sz val="11"/>
        <color theme="1"/>
        <rFont val="FreeSans"/>
        <family val="2"/>
      </rPr>
      <t>איתי ס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</si>
  <si>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חיזוק ויסות רגשי והתנהגותי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שיפור מיומנויות קריאה ופענוח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שיפור כתיבה ותפקוד בכיתה</t>
    </r>
  </si>
  <si>
    <r>
      <rPr>
        <sz val="11"/>
        <color theme="1"/>
        <rFont val="FreeSans"/>
        <family val="2"/>
      </rPr>
      <t>עזרים חזותיים תומכים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פירוק הוראות למספר שלבים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הפחתת עומס מטלות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ישיבה בקדמת הכיתה</t>
    </r>
  </si>
  <si>
    <t>STU-0031</t>
  </si>
  <si>
    <r>
      <rPr>
        <sz val="11"/>
        <color theme="1"/>
        <rFont val="FreeSans"/>
        <family val="2"/>
      </rPr>
      <t>תומר מ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</si>
  <si>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פיתוח שפה ותקשורת פונקציונלית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שיפור מיומנויות חשבון בסיסיות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הכנה למעבר לחטיבת ביניים</t>
    </r>
  </si>
  <si>
    <r>
      <rPr>
        <sz val="11"/>
        <color theme="1"/>
        <rFont val="FreeSans"/>
        <family val="2"/>
      </rPr>
      <t>הארכת זמן במבחנים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ישיבה בקדמת הכיתה</t>
    </r>
  </si>
  <si>
    <t>STU-0032</t>
  </si>
  <si>
    <r>
      <rPr>
        <sz val="11"/>
        <color theme="1"/>
        <rFont val="FreeSans"/>
        <family val="2"/>
      </rPr>
      <t>איתי מ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</si>
  <si>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הפחתת עומס מטלות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עזרים חזותיים תומכים</t>
    </r>
  </si>
  <si>
    <t>STU-0033</t>
  </si>
  <si>
    <r>
      <rPr>
        <sz val="11"/>
        <color theme="1"/>
        <rFont val="FreeSans"/>
        <family val="2"/>
      </rPr>
      <t>איתי פ</t>
    </r>
    <r>
      <rPr>
        <sz val="11"/>
        <color theme="1"/>
        <rFont val="Calibri"/>
        <family val="2"/>
        <charset val="1"/>
      </rPr>
      <t>.</t>
    </r>
  </si>
  <si>
    <t>הראל</t>
  </si>
  <si>
    <t>לוד</t>
  </si>
  <si>
    <t>יסודי בלבד</t>
  </si>
  <si>
    <r>
      <rPr>
        <sz val="11"/>
        <color theme="1"/>
        <rFont val="FreeSans"/>
        <family val="2"/>
      </rPr>
      <t>הכנה למעבר לחטיבת ביניים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שיפור מוטוריקה עדינה</t>
    </r>
  </si>
  <si>
    <r>
      <rPr>
        <sz val="11"/>
        <color theme="1"/>
        <rFont val="FreeSans"/>
        <family val="2"/>
      </rPr>
      <t>פירוק הוראות למספר שלבים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בחינה בעל פה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ישיבה בקדמת הכיתה</t>
    </r>
  </si>
  <si>
    <t>STU-0034</t>
  </si>
  <si>
    <r>
      <rPr>
        <sz val="11"/>
        <color theme="1"/>
        <rFont val="FreeSans"/>
        <family val="2"/>
      </rPr>
      <t>מאיה מ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</si>
  <si>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הארכת זמן במבחנים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פירוק הוראות למספר שלבים</t>
    </r>
  </si>
  <si>
    <t>STU-0035</t>
  </si>
  <si>
    <r>
      <rPr>
        <sz val="11"/>
        <color theme="1"/>
        <rFont val="FreeSans"/>
        <family val="2"/>
      </rPr>
      <t>יעל ת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</si>
  <si>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עצמאות בתפקוד יומיומי בכיתה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שיפור קשב וריכוז במטלות לימודיות</t>
    </r>
  </si>
  <si>
    <r>
      <rPr>
        <sz val="11"/>
        <color theme="1"/>
        <rFont val="FreeSans"/>
        <family val="2"/>
      </rPr>
      <t>פירוק הוראות למספר שלבים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עזרים חזותיים תומכים</t>
    </r>
  </si>
  <si>
    <t>STU-0036</t>
  </si>
  <si>
    <r>
      <rPr>
        <sz val="11"/>
        <color theme="1"/>
        <rFont val="FreeSans"/>
        <family val="2"/>
      </rPr>
      <t>שיפור קשב וריכוז במטלות לימודיות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פיתוח מיומנויות חברתיות</t>
    </r>
  </si>
  <si>
    <r>
      <rPr>
        <sz val="11"/>
        <color theme="1"/>
        <rFont val="FreeSans"/>
        <family val="2"/>
      </rPr>
      <t>שימוש במחשב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FreeSans"/>
        <family val="2"/>
      </rPr>
      <t>מקלדת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בחינה בעל פה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ליווי סייעת חלקי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פירוק הוראות למספר שלבים</t>
    </r>
  </si>
  <si>
    <t>STU-0037</t>
  </si>
  <si>
    <r>
      <rPr>
        <sz val="11"/>
        <color theme="1"/>
        <rFont val="FreeSans"/>
        <family val="2"/>
      </rPr>
      <t>דניאל א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</si>
  <si>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הכנה למעבר לחטיבת ביניים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חיזוק ויסות רגשי והתנהגותי</t>
    </r>
  </si>
  <si>
    <r>
      <rPr>
        <sz val="11"/>
        <color theme="1"/>
        <rFont val="FreeSans"/>
        <family val="2"/>
      </rPr>
      <t>הפחתת עומס מטלות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ליווי סייעת חלקי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עזרים חזותיים תומכים</t>
    </r>
  </si>
  <si>
    <t>STU-0038</t>
  </si>
  <si>
    <r>
      <rPr>
        <sz val="11"/>
        <color theme="1"/>
        <rFont val="FreeSans"/>
        <family val="2"/>
      </rPr>
      <t>יעל ע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</si>
  <si>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הפחתת עומס מטלות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שימוש במחשב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FreeSans"/>
        <family val="2"/>
      </rPr>
      <t>מקלדת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עזרים חזותיים תומכים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ליווי סייעת חלקי</t>
    </r>
  </si>
  <si>
    <t>STU-0039</t>
  </si>
  <si>
    <r>
      <rPr>
        <sz val="11"/>
        <color theme="1"/>
        <rFont val="FreeSans"/>
        <family val="2"/>
      </rPr>
      <t>הדר ה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</si>
  <si>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שיפור מוטוריקה עדינה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פיתוח מיומנויות חברתיות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שיפור מיומנויות חשבון בסיסיות</t>
    </r>
  </si>
  <si>
    <t>STU-0040</t>
  </si>
  <si>
    <r>
      <rPr>
        <sz val="11"/>
        <color theme="1"/>
        <rFont val="FreeSans"/>
        <family val="2"/>
      </rPr>
      <t>רותם ה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</si>
  <si>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פיתוח מיומנויות חברתיות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עצמאות בתפקוד יומיומי בכיתה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שיפור מיומנויות חשבון בסיסיות</t>
    </r>
  </si>
  <si>
    <r>
      <rPr>
        <sz val="11"/>
        <color theme="1"/>
        <rFont val="FreeSans"/>
        <family val="2"/>
      </rPr>
      <t>הארכת זמן במבחנים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בחינה בעל פה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פירוק הוראות למספר שלבים</t>
    </r>
  </si>
  <si>
    <t>STU-0041</t>
  </si>
  <si>
    <r>
      <rPr>
        <sz val="11"/>
        <color theme="1"/>
        <rFont val="FreeSans"/>
        <family val="2"/>
      </rPr>
      <t>הדר ג</t>
    </r>
    <r>
      <rPr>
        <sz val="11"/>
        <color theme="1"/>
        <rFont val="Calibri"/>
        <family val="2"/>
        <charset val="1"/>
      </rPr>
      <t>.</t>
    </r>
  </si>
  <si>
    <t>כנפי רוח</t>
  </si>
  <si>
    <t>ראש העין</t>
  </si>
  <si>
    <r>
      <rPr>
        <sz val="11"/>
        <color theme="1"/>
        <rFont val="FreeSans"/>
        <family val="2"/>
      </rPr>
      <t>בחינה בעל פה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פירוק הוראות למספר שלבים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ליווי סייעת חלקי</t>
    </r>
  </si>
  <si>
    <t>STU-0042</t>
  </si>
  <si>
    <r>
      <rPr>
        <sz val="11"/>
        <color theme="1"/>
        <rFont val="FreeSans"/>
        <family val="2"/>
      </rPr>
      <t>נועה 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</si>
  <si>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שיפור מיומנויות קריאה ופענוח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שיפור קשב וריכוז במטלות לימודיות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שיפור כתיבה ותפקוד בכיתה</t>
    </r>
  </si>
  <si>
    <r>
      <rPr>
        <sz val="11"/>
        <color theme="1"/>
        <rFont val="FreeSans"/>
        <family val="2"/>
      </rPr>
      <t>הפחתת עומס מטלות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ליווי סייעת חלקי</t>
    </r>
  </si>
  <si>
    <t>STU-0043</t>
  </si>
  <si>
    <r>
      <rPr>
        <sz val="11"/>
        <color theme="1"/>
        <rFont val="FreeSans"/>
        <family val="2"/>
      </rPr>
      <t>איתי צ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</si>
  <si>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שיפור כתיבה ותפקוד בכיתה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שיפור מיומנויות קריאה ופענוח</t>
    </r>
  </si>
  <si>
    <r>
      <rPr>
        <sz val="11"/>
        <color theme="1"/>
        <rFont val="FreeSans"/>
        <family val="2"/>
      </rPr>
      <t>עזרים חזותיים תומכים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שימוש במחשב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FreeSans"/>
        <family val="2"/>
      </rPr>
      <t>מקלדת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הפחתת עומס מטלות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בחינה בעל פה</t>
    </r>
  </si>
  <si>
    <t>STU-0044</t>
  </si>
  <si>
    <r>
      <rPr>
        <sz val="11"/>
        <color theme="1"/>
        <rFont val="FreeSans"/>
        <family val="2"/>
      </rPr>
      <t>אביגיל ג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</si>
  <si>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שיפור קשב וריכוז במטלות לימודיות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הכנה למעבר לחטיבת ביניים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שיפור מוטוריקה עדינה</t>
    </r>
  </si>
  <si>
    <r>
      <rPr>
        <sz val="11"/>
        <color theme="1"/>
        <rFont val="FreeSans"/>
        <family val="2"/>
      </rPr>
      <t>שימוש במחשב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FreeSans"/>
        <family val="2"/>
      </rPr>
      <t>מקלדת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ישיבה בקדמת הכיתה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פירוק הוראות למספר שלבים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הפחתת עומס מטלות</t>
    </r>
  </si>
  <si>
    <t>STU-0045</t>
  </si>
  <si>
    <r>
      <rPr>
        <sz val="11"/>
        <color theme="1"/>
        <rFont val="FreeSans"/>
        <family val="2"/>
      </rPr>
      <t>שירה ל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</si>
  <si>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עצמאות בתפקוד יומיומי בכיתה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שיפור מוטוריקה עדינה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חיזוק ויסות רגשי והתנהגותי</t>
    </r>
  </si>
  <si>
    <r>
      <rPr>
        <sz val="11"/>
        <color theme="1"/>
        <rFont val="FreeSans"/>
        <family val="2"/>
      </rPr>
      <t>שימוש במחשב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FreeSans"/>
        <family val="2"/>
      </rPr>
      <t>מקלדת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בחינה בעל פה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הארכת זמן במבחנים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עזרים חזותיים תומכים</t>
    </r>
  </si>
  <si>
    <t>STU-0046</t>
  </si>
  <si>
    <r>
      <rPr>
        <sz val="11"/>
        <color theme="1"/>
        <rFont val="FreeSans"/>
        <family val="2"/>
      </rPr>
      <t>שיפור מוטוריקה עדינה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שיפור מיומנויות חשבון בסיסיות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פיתוח מיומנויות חברתיות</t>
    </r>
  </si>
  <si>
    <r>
      <rPr>
        <sz val="11"/>
        <color theme="1"/>
        <rFont val="FreeSans"/>
        <family val="2"/>
      </rPr>
      <t>הפחתת עומס מטלות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ישיבה בקדמת הכיתה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הארכת זמן במבחנים</t>
    </r>
  </si>
  <si>
    <t>STU-0047</t>
  </si>
  <si>
    <r>
      <rPr>
        <sz val="11"/>
        <color theme="1"/>
        <rFont val="FreeSans"/>
        <family val="2"/>
      </rPr>
      <t>עדן ק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</si>
  <si>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פיתוח מיומנויות חברתיות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שיפור מוטוריקה עדינה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שיפור מיומנויות חשבון בסיסיות</t>
    </r>
  </si>
  <si>
    <r>
      <rPr>
        <sz val="11"/>
        <color theme="1"/>
        <rFont val="FreeSans"/>
        <family val="2"/>
      </rPr>
      <t>פירוק הוראות למספר שלבים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שימוש במחשב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FreeSans"/>
        <family val="2"/>
      </rPr>
      <t>מקלדת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ישיבה בקדמת הכיתה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הארכת זמן במבחנים</t>
    </r>
  </si>
  <si>
    <t>STU-0048</t>
  </si>
  <si>
    <r>
      <rPr>
        <sz val="11"/>
        <color theme="1"/>
        <rFont val="FreeSans"/>
        <family val="2"/>
      </rPr>
      <t>אריאל ג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</si>
  <si>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פיתוח מיומנויות חברתיות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שיפור כתיבה ותפקוד בכיתה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הכנה למעבר לחטיבת ביניים</t>
    </r>
  </si>
  <si>
    <r>
      <rPr>
        <sz val="11"/>
        <color theme="1"/>
        <rFont val="FreeSans"/>
        <family val="2"/>
      </rPr>
      <t>ישיבה בקדמת הכיתה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הפחתת עומס מטלות</t>
    </r>
  </si>
  <si>
    <t>STU-0049</t>
  </si>
  <si>
    <r>
      <rPr>
        <sz val="11"/>
        <color theme="1"/>
        <rFont val="FreeSans"/>
        <family val="2"/>
      </rPr>
      <t>יעל י</t>
    </r>
    <r>
      <rPr>
        <sz val="11"/>
        <color theme="1"/>
        <rFont val="Calibri"/>
        <family val="2"/>
        <charset val="1"/>
      </rPr>
      <t>.</t>
    </r>
  </si>
  <si>
    <t>אורט סינגאלובסקי תל אביב</t>
  </si>
  <si>
    <r>
      <rPr>
        <sz val="11"/>
        <color theme="1"/>
        <rFont val="FreeSans"/>
        <family val="2"/>
      </rPr>
      <t>תל אביב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FreeSans"/>
        <family val="2"/>
      </rPr>
      <t>יפו</t>
    </r>
  </si>
  <si>
    <r>
      <rPr>
        <sz val="11"/>
        <color theme="1"/>
        <rFont val="FreeSans"/>
        <family val="2"/>
      </rPr>
      <t>הפחתת עומס מטלות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פירוק הוראות למספר שלבים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ליווי סייעת חלקי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שימוש במחשב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FreeSans"/>
        <family val="2"/>
      </rPr>
      <t>מקלדת</t>
    </r>
  </si>
  <si>
    <t>STU-0050</t>
  </si>
  <si>
    <r>
      <rPr>
        <sz val="11"/>
        <color theme="1"/>
        <rFont val="FreeSans"/>
        <family val="2"/>
      </rPr>
      <t>שירה ע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</si>
  <si>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הפחתת עומס מטלות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שימוש במחשב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FreeSans"/>
        <family val="2"/>
      </rPr>
      <t>מקלדת</t>
    </r>
  </si>
  <si>
    <t>STU-0051</t>
  </si>
  <si>
    <r>
      <rPr>
        <sz val="11"/>
        <color theme="1"/>
        <rFont val="FreeSans"/>
        <family val="2"/>
      </rPr>
      <t>הדר ח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</si>
  <si>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שיפור מיומנויות קריאה ופענוח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הכנה למעבר לחטיבת ביניים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פיתוח מיומנויות חברתיות</t>
    </r>
  </si>
  <si>
    <r>
      <rPr>
        <sz val="11"/>
        <color theme="1"/>
        <rFont val="FreeSans"/>
        <family val="2"/>
      </rPr>
      <t>עזרים חזותיים תומכים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הארכת זמן במבחנים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ישיבה בקדמת הכיתה</t>
    </r>
  </si>
  <si>
    <t>STU-0052</t>
  </si>
  <si>
    <r>
      <rPr>
        <sz val="11"/>
        <color theme="1"/>
        <rFont val="FreeSans"/>
        <family val="2"/>
      </rPr>
      <t>עומר ח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</si>
  <si>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שיפור מוטוריקה עדינה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פיתוח מיומנויות חברתיות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שיפור מיומנויות קריאה ופענוח</t>
    </r>
  </si>
  <si>
    <r>
      <rPr>
        <sz val="11"/>
        <color theme="1"/>
        <rFont val="FreeSans"/>
        <family val="2"/>
      </rPr>
      <t>בחינה בעל פה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פירוק הוראות למספר שלבים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שימוש במחשב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FreeSans"/>
        <family val="2"/>
      </rPr>
      <t>מקלדת</t>
    </r>
  </si>
  <si>
    <t>STU-0053</t>
  </si>
  <si>
    <r>
      <rPr>
        <sz val="11"/>
        <color theme="1"/>
        <rFont val="FreeSans"/>
        <family val="2"/>
      </rPr>
      <t>איתי ז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</si>
  <si>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הכנה למעבר לחטיבת ביניים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חיזוק ויסות רגשי והתנהגותי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פיתוח מיומנויות חברתיות</t>
    </r>
  </si>
  <si>
    <r>
      <rPr>
        <sz val="11"/>
        <color theme="1"/>
        <rFont val="FreeSans"/>
        <family val="2"/>
      </rPr>
      <t>עזרים חזותיים תומכים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ליווי סייעת חלקי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הארכת זמן במבחנים</t>
    </r>
  </si>
  <si>
    <t>STU-0054</t>
  </si>
  <si>
    <r>
      <rPr>
        <sz val="11"/>
        <color theme="1"/>
        <rFont val="FreeSans"/>
        <family val="2"/>
      </rPr>
      <t>אביגיל ש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</si>
  <si>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חיזוק ויסות רגשי והתנהגותי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שיפור מוטוריקה עדינה</t>
    </r>
  </si>
  <si>
    <r>
      <rPr>
        <sz val="11"/>
        <color theme="1"/>
        <rFont val="FreeSans"/>
        <family val="2"/>
      </rPr>
      <t>ליווי סייעת חלקי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פירוק הוראות למספר שלבים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הארכת זמן במבחנים</t>
    </r>
  </si>
  <si>
    <t>STU-0055</t>
  </si>
  <si>
    <r>
      <rPr>
        <sz val="11"/>
        <color theme="1"/>
        <rFont val="FreeSans"/>
        <family val="2"/>
      </rPr>
      <t>נועה ד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</si>
  <si>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פיתוח שפה ותקשורת פונקציונלית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הכנה למעבר לחטיבת ביניים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עצמאות בתפקוד יומיומי בכיתה</t>
    </r>
  </si>
  <si>
    <r>
      <rPr>
        <sz val="11"/>
        <color theme="1"/>
        <rFont val="FreeSans"/>
        <family val="2"/>
      </rPr>
      <t>בחינה בעל פה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הארכת זמן במבחנים</t>
    </r>
  </si>
  <si>
    <t>STU-0056</t>
  </si>
  <si>
    <r>
      <rPr>
        <sz val="11"/>
        <color theme="1"/>
        <rFont val="FreeSans"/>
        <family val="2"/>
      </rPr>
      <t>עדן א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</si>
  <si>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שיפור כתיבה ותפקוד בכיתה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שיפור מיומנויות קריאה ופענוח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עצמאות בתפקוד יומיומי בכיתה</t>
    </r>
  </si>
  <si>
    <r>
      <rPr>
        <sz val="11"/>
        <color theme="1"/>
        <rFont val="FreeSans"/>
        <family val="2"/>
      </rPr>
      <t>ליווי סייעת חלקי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הפחתת עומס מטלות</t>
    </r>
  </si>
  <si>
    <t>STU-0057</t>
  </si>
  <si>
    <r>
      <rPr>
        <sz val="11"/>
        <color theme="1"/>
        <rFont val="FreeSans"/>
        <family val="2"/>
      </rPr>
      <t>יעל ר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</si>
  <si>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בי</t>
    </r>
    <r>
      <rPr>
        <sz val="11"/>
        <color theme="1"/>
        <rFont val="Calibri"/>
        <family val="2"/>
        <charset val="1"/>
      </rPr>
      <t>"</t>
    </r>
    <r>
      <rPr>
        <sz val="11"/>
        <color theme="1"/>
        <rFont val="FreeSans"/>
        <family val="2"/>
      </rPr>
      <t>ס אזורי חנ</t>
    </r>
    <r>
      <rPr>
        <sz val="11"/>
        <color theme="1"/>
        <rFont val="Calibri"/>
        <family val="2"/>
        <charset val="1"/>
      </rPr>
      <t>"</t>
    </r>
    <r>
      <rPr>
        <sz val="11"/>
        <color theme="1"/>
        <rFont val="FreeSans"/>
        <family val="2"/>
      </rPr>
      <t>מ שחף</t>
    </r>
  </si>
  <si>
    <t>עמק הירדן</t>
  </si>
  <si>
    <t>חינוך מיוחד נפרד</t>
  </si>
  <si>
    <r>
      <rPr>
        <sz val="11"/>
        <color theme="1"/>
        <rFont val="FreeSans"/>
        <family val="2"/>
      </rPr>
      <t>שיפור מוטוריקה עדינה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שיפור מיומנויות קריאה ופענוח</t>
    </r>
  </si>
  <si>
    <r>
      <rPr>
        <sz val="11"/>
        <color theme="1"/>
        <rFont val="FreeSans"/>
        <family val="2"/>
      </rPr>
      <t>הארכת זמן במבחנים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שימוש במחשב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FreeSans"/>
        <family val="2"/>
      </rPr>
      <t>מקלדת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פירוק הוראות למספר שלבים</t>
    </r>
  </si>
  <si>
    <t>STU-0058</t>
  </si>
  <si>
    <r>
      <rPr>
        <sz val="11"/>
        <color theme="1"/>
        <rFont val="FreeSans"/>
        <family val="2"/>
      </rPr>
      <t>יעל א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</si>
  <si>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פיתוח שפה ותקשורת פונקציונלית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שיפור מיומנויות קריאה ופענוח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שיפור קשב וריכוז במטלות לימודיות</t>
    </r>
  </si>
  <si>
    <r>
      <rPr>
        <sz val="11"/>
        <color theme="1"/>
        <rFont val="FreeSans"/>
        <family val="2"/>
      </rPr>
      <t>ליווי סייעת חלקי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ישיבה בקדמת הכיתה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עזרים חזותיים תומכים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הארכת זמן במבחנים</t>
    </r>
  </si>
  <si>
    <t>STU-0059</t>
  </si>
  <si>
    <r>
      <rPr>
        <sz val="11"/>
        <color theme="1"/>
        <rFont val="FreeSans"/>
        <family val="2"/>
      </rPr>
      <t>עצמאות בתפקוד יומיומי בכיתה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שיפור מוטוריקה עדינה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שיפור קשב וריכוז במטלות לימודיות</t>
    </r>
  </si>
  <si>
    <r>
      <rPr>
        <sz val="11"/>
        <color theme="1"/>
        <rFont val="FreeSans"/>
        <family val="2"/>
      </rPr>
      <t>פירוק הוראות למספר שלבים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בחינה בעל פה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שימוש במחשב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FreeSans"/>
        <family val="2"/>
      </rPr>
      <t>מקלדת</t>
    </r>
  </si>
  <si>
    <t>STU-0060</t>
  </si>
  <si>
    <r>
      <rPr>
        <sz val="11"/>
        <color theme="1"/>
        <rFont val="FreeSans"/>
        <family val="2"/>
      </rPr>
      <t>איתי ע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</si>
  <si>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פיתוח שפה ותקשורת פונקציונלית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עצמאות בתפקוד יומיומי בכיתה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הכנה למעבר לחטיבת ביניים</t>
    </r>
  </si>
  <si>
    <r>
      <rPr>
        <sz val="11"/>
        <color theme="1"/>
        <rFont val="FreeSans"/>
        <family val="2"/>
      </rPr>
      <t>בחינה בעל פה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הפחתת עומס מטלות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פירוק הוראות למספר שלבים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שימוש במחשב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FreeSans"/>
        <family val="2"/>
      </rPr>
      <t>מקלדת</t>
    </r>
  </si>
  <si>
    <t>STU-0061</t>
  </si>
  <si>
    <r>
      <rPr>
        <sz val="11"/>
        <color theme="1"/>
        <rFont val="FreeSans"/>
        <family val="2"/>
      </rPr>
      <t>עדן ס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</si>
  <si>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חיזוק ויסות רגשי והתנהגותי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שיפור מוטוריקה עדינה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שיפור כתיבה ותפקוד בכיתה</t>
    </r>
  </si>
  <si>
    <r>
      <rPr>
        <sz val="11"/>
        <color theme="1"/>
        <rFont val="FreeSans"/>
        <family val="2"/>
      </rPr>
      <t>הפחתת עומס מטלות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פירוק הוראות למספר שלבים</t>
    </r>
  </si>
  <si>
    <t>STU-0062</t>
  </si>
  <si>
    <r>
      <rPr>
        <sz val="11"/>
        <color theme="1"/>
        <rFont val="FreeSans"/>
        <family val="2"/>
      </rPr>
      <t>ליאור ל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</si>
  <si>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שיפור מוטוריקה עדינה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עצמאות בתפקוד יומיומי בכיתה</t>
    </r>
  </si>
  <si>
    <r>
      <rPr>
        <sz val="11"/>
        <color theme="1"/>
        <rFont val="FreeSans"/>
        <family val="2"/>
      </rPr>
      <t>שימוש במחשב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FreeSans"/>
        <family val="2"/>
      </rPr>
      <t>מקלדת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ליווי סייעת חלקי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הפחתת עומס מטלות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הארכת זמן במבחנים</t>
    </r>
  </si>
  <si>
    <t>STU-0063</t>
  </si>
  <si>
    <r>
      <rPr>
        <sz val="11"/>
        <color theme="1"/>
        <rFont val="FreeSans"/>
        <family val="2"/>
      </rPr>
      <t>עומר כ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</si>
  <si>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עצמאות בתפקוד יומיומי בכיתה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פיתוח מיומנויות חברתיות</t>
    </r>
  </si>
  <si>
    <r>
      <rPr>
        <sz val="11"/>
        <color theme="1"/>
        <rFont val="FreeSans"/>
        <family val="2"/>
      </rPr>
      <t>שימוש במחשב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FreeSans"/>
        <family val="2"/>
      </rPr>
      <t>מקלדת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בחינה בעל פה</t>
    </r>
  </si>
  <si>
    <t>STU-0064</t>
  </si>
  <si>
    <r>
      <rPr>
        <sz val="11"/>
        <color theme="1"/>
        <rFont val="FreeSans"/>
        <family val="2"/>
      </rPr>
      <t>שירה ס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</si>
  <si>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פיתוח מיומנויות חברתיות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שיפור מיומנויות חשבון בסיסיות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הכנה למעבר לחטיבת ביניים</t>
    </r>
  </si>
  <si>
    <r>
      <rPr>
        <sz val="11"/>
        <color theme="1"/>
        <rFont val="FreeSans"/>
        <family val="2"/>
      </rPr>
      <t>בחינה בעל פה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ליווי סייעת חלקי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שימוש במחשב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FreeSans"/>
        <family val="2"/>
      </rPr>
      <t>מקלדת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הארכת זמן במבחנים</t>
    </r>
  </si>
  <si>
    <t>STU-0065</t>
  </si>
  <si>
    <r>
      <rPr>
        <sz val="11"/>
        <color theme="1"/>
        <rFont val="FreeSans"/>
        <family val="2"/>
      </rPr>
      <t>אריאל ר</t>
    </r>
    <r>
      <rPr>
        <sz val="11"/>
        <color theme="1"/>
        <rFont val="Calibri"/>
        <family val="2"/>
        <charset val="1"/>
      </rPr>
      <t>.</t>
    </r>
  </si>
  <si>
    <t>התומר</t>
  </si>
  <si>
    <t>נס ציונה</t>
  </si>
  <si>
    <t>יסודי ועליונה</t>
  </si>
  <si>
    <r>
      <rPr>
        <sz val="11"/>
        <color theme="1"/>
        <rFont val="FreeSans"/>
        <family val="2"/>
      </rPr>
      <t>פיתוח מיומנויות חברתיות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שיפור כתיבה ותפקוד בכיתה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שיפור מיומנויות קריאה ופענוח</t>
    </r>
  </si>
  <si>
    <t>STU-0066</t>
  </si>
  <si>
    <r>
      <rPr>
        <sz val="11"/>
        <color theme="1"/>
        <rFont val="FreeSans"/>
        <family val="2"/>
      </rPr>
      <t>הכנה למעבר לחטיבת ביניים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פיתוח שפה ותקשורת פונקציונלית</t>
    </r>
  </si>
  <si>
    <t>STU-0067</t>
  </si>
  <si>
    <r>
      <rPr>
        <sz val="11"/>
        <color theme="1"/>
        <rFont val="FreeSans"/>
        <family val="2"/>
      </rPr>
      <t>עדן צ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</si>
  <si>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פיתוח שפה ותקשורת פונקציונלית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שיפור מוטוריקה עדינה</t>
    </r>
  </si>
  <si>
    <r>
      <rPr>
        <sz val="11"/>
        <color theme="1"/>
        <rFont val="FreeSans"/>
        <family val="2"/>
      </rPr>
      <t>ליווי סייעת חלקי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בחינה בעל פה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הפחתת עומס מטלות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ישיבה בקדמת הכיתה</t>
    </r>
  </si>
  <si>
    <t>STU-0068</t>
  </si>
  <si>
    <r>
      <rPr>
        <sz val="11"/>
        <color theme="1"/>
        <rFont val="FreeSans"/>
        <family val="2"/>
      </rPr>
      <t>רותם ת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</si>
  <si>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שיפור כתיבה ותפקוד בכיתה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שיפור מוטוריקה עדינה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חיזוק ויסות רגשי והתנהגותי</t>
    </r>
  </si>
  <si>
    <r>
      <rPr>
        <sz val="11"/>
        <color theme="1"/>
        <rFont val="FreeSans"/>
        <family val="2"/>
      </rPr>
      <t>בחינה בעל פה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ליווי סייעת חלקי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פירוק הוראות למספר שלבים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שימוש במחשב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FreeSans"/>
        <family val="2"/>
      </rPr>
      <t>מקלדת</t>
    </r>
  </si>
  <si>
    <t>STU-0069</t>
  </si>
  <si>
    <r>
      <rPr>
        <sz val="11"/>
        <color theme="1"/>
        <rFont val="FreeSans"/>
        <family val="2"/>
      </rPr>
      <t>יהונתן ז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</si>
  <si>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שיפור קשב וריכוז במטלות לימודיות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פיתוח שפה ותקשורת פונקציונלית</t>
    </r>
  </si>
  <si>
    <t>STU-0070</t>
  </si>
  <si>
    <r>
      <rPr>
        <sz val="11"/>
        <color theme="1"/>
        <rFont val="FreeSans"/>
        <family val="2"/>
      </rPr>
      <t>עזרים חזותיים תומכים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הפחתת עומס מטלות</t>
    </r>
  </si>
  <si>
    <t>STU-0071</t>
  </si>
  <si>
    <r>
      <rPr>
        <sz val="11"/>
        <color theme="1"/>
        <rFont val="FreeSans"/>
        <family val="2"/>
      </rPr>
      <t>ליווי סייעת חלקי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פירוק הוראות למספר שלבים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הפחתת עומס מטלות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בחינה בעל פה</t>
    </r>
  </si>
  <si>
    <t>STU-0072</t>
  </si>
  <si>
    <r>
      <rPr>
        <sz val="11"/>
        <color theme="1"/>
        <rFont val="FreeSans"/>
        <family val="2"/>
      </rPr>
      <t>יהונתן ג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</si>
  <si>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פיתוח מיומנויות חברתיות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שיפור קשב וריכוז במטלות לימודיות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חיזוק ויסות רגשי והתנהגותי</t>
    </r>
  </si>
  <si>
    <r>
      <rPr>
        <sz val="11"/>
        <color theme="1"/>
        <rFont val="FreeSans"/>
        <family val="2"/>
      </rPr>
      <t>פירוק הוראות למספר שלבים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ישיבה בקדמת הכיתה</t>
    </r>
  </si>
  <si>
    <t>STU-0073</t>
  </si>
  <si>
    <r>
      <rPr>
        <sz val="11"/>
        <color theme="1"/>
        <rFont val="FreeSans"/>
        <family val="2"/>
      </rPr>
      <t>אביגיל מ</t>
    </r>
    <r>
      <rPr>
        <sz val="11"/>
        <color theme="1"/>
        <rFont val="Calibri"/>
        <family val="2"/>
        <charset val="1"/>
      </rPr>
      <t>.</t>
    </r>
  </si>
  <si>
    <t>עירוני נווה צדק</t>
  </si>
  <si>
    <r>
      <rPr>
        <sz val="11"/>
        <color theme="1"/>
        <rFont val="FreeSans"/>
        <family val="2"/>
      </rPr>
      <t>פיתוח מיומנויות חברתיות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שיפור מוטוריקה עדינה</t>
    </r>
  </si>
  <si>
    <r>
      <rPr>
        <sz val="11"/>
        <color theme="1"/>
        <rFont val="FreeSans"/>
        <family val="2"/>
      </rPr>
      <t>שימוש במחשב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FreeSans"/>
        <family val="2"/>
      </rPr>
      <t>מקלדת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עזרים חזותיים תומכים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פירוק הוראות למספר שלבים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בחינה בעל פה</t>
    </r>
  </si>
  <si>
    <t>STU-0074</t>
  </si>
  <si>
    <r>
      <rPr>
        <sz val="11"/>
        <color theme="1"/>
        <rFont val="FreeSans"/>
        <family val="2"/>
      </rPr>
      <t>אריאל צ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</si>
  <si>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פיתוח מיומנויות חברתיות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הכנה למעבר לחטיבת ביניים</t>
    </r>
  </si>
  <si>
    <r>
      <rPr>
        <sz val="11"/>
        <color theme="1"/>
        <rFont val="FreeSans"/>
        <family val="2"/>
      </rPr>
      <t>הארכת זמן במבחנים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ליווי סייעת חלקי</t>
    </r>
  </si>
  <si>
    <t>STU-0075</t>
  </si>
  <si>
    <r>
      <rPr>
        <sz val="11"/>
        <color theme="1"/>
        <rFont val="FreeSans"/>
        <family val="2"/>
      </rPr>
      <t>שיפור קשב וריכוז במטלות לימודיות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פיתוח מיומנויות חברתיות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שיפור מוטוריקה עדינה</t>
    </r>
  </si>
  <si>
    <r>
      <rPr>
        <sz val="11"/>
        <color theme="1"/>
        <rFont val="FreeSans"/>
        <family val="2"/>
      </rPr>
      <t>ליווי סייעת חלקי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שימוש במחשב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FreeSans"/>
        <family val="2"/>
      </rPr>
      <t>מקלדת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הפחתת עומס מטלות</t>
    </r>
  </si>
  <si>
    <t>STU-0076</t>
  </si>
  <si>
    <r>
      <rPr>
        <sz val="11"/>
        <color theme="1"/>
        <rFont val="FreeSans"/>
        <family val="2"/>
      </rPr>
      <t>אריאל 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</si>
  <si>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חיזוק ויסות רגשי והתנהגותי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עצמאות בתפקוד יומיומי בכיתה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שיפור מוטוריקה עדינה</t>
    </r>
  </si>
  <si>
    <t>STU-0077</t>
  </si>
  <si>
    <r>
      <rPr>
        <sz val="11"/>
        <color theme="1"/>
        <rFont val="FreeSans"/>
        <family val="2"/>
      </rPr>
      <t>יהונתן ש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</si>
  <si>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חיזוק ויסות רגשי והתנהגותי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שיפור כתיבה ותפקוד בכיתה</t>
    </r>
  </si>
  <si>
    <r>
      <rPr>
        <sz val="11"/>
        <color theme="1"/>
        <rFont val="FreeSans"/>
        <family val="2"/>
      </rPr>
      <t>ליווי סייעת חלקי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עזרים חזותיים תומכים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פירוק הוראות למספר שלבים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הפחתת עומס מטלות</t>
    </r>
  </si>
  <si>
    <t>STU-0078</t>
  </si>
  <si>
    <r>
      <rPr>
        <sz val="11"/>
        <color theme="1"/>
        <rFont val="FreeSans"/>
        <family val="2"/>
      </rPr>
      <t>אביגיל ת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</si>
  <si>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הכנה למעבר לחטיבת ביניים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שיפור כתיבה ותפקוד בכיתה</t>
    </r>
  </si>
  <si>
    <t>STU-0079</t>
  </si>
  <si>
    <r>
      <rPr>
        <sz val="11"/>
        <color theme="1"/>
        <rFont val="FreeSans"/>
        <family val="2"/>
      </rPr>
      <t>ליאור 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</si>
  <si>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פיתוח שפה ותקשורת פונקציונלית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שיפור קשב וריכוז במטלות לימודיות</t>
    </r>
  </si>
  <si>
    <t>STU-0080</t>
  </si>
  <si>
    <r>
      <rPr>
        <sz val="11"/>
        <color theme="1"/>
        <rFont val="FreeSans"/>
        <family val="2"/>
      </rPr>
      <t>ליאור ת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</si>
  <si>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הכנה למעבר לחטיבת ביניים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שיפור מיומנויות חשבון בסיסיות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פיתוח מיומנויות חברתיות</t>
    </r>
  </si>
  <si>
    <r>
      <rPr>
        <sz val="11"/>
        <color theme="1"/>
        <rFont val="FreeSans"/>
        <family val="2"/>
      </rPr>
      <t>ליווי סייעת חלקי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הארכת זמן במבחנים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>בחינה בעל פה</t>
    </r>
  </si>
  <si>
    <t>institution_education_type</t>
  </si>
  <si>
    <t>real_special_ed_students_2024</t>
  </si>
  <si>
    <t>real_special_ed_classes_2024</t>
  </si>
  <si>
    <t>real_regular_classes_2024</t>
  </si>
  <si>
    <t>real_inclusion_rate_2024</t>
  </si>
  <si>
    <t>socio_economic_cluster</t>
  </si>
  <si>
    <t>רגיל</t>
  </si>
  <si>
    <t>מיוחד</t>
  </si>
  <si>
    <t>n_synthetic_students</t>
  </si>
  <si>
    <t>n_synthetic_inclusion</t>
  </si>
  <si>
    <t>n_synthetic_separate</t>
  </si>
  <si>
    <t>synthetic_inclusion_index</t>
  </si>
  <si>
    <r>
      <rPr>
        <sz val="11"/>
        <color theme="1"/>
        <rFont val="FreeSans"/>
        <family val="2"/>
      </rPr>
      <t>מקור בתי הספר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קובץ שהעלה המשתמש </t>
    </r>
    <r>
      <rPr>
        <sz val="11"/>
        <color theme="1"/>
        <rFont val="Calibri"/>
        <family val="2"/>
        <charset val="1"/>
      </rPr>
      <t xml:space="preserve">(all_schools_2022-2024.xlsx) - </t>
    </r>
    <r>
      <rPr>
        <sz val="11"/>
        <color theme="1"/>
        <rFont val="FreeSans"/>
        <family val="2"/>
      </rPr>
      <t>נתוני מוסדות חינוך אמיתיים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>שנת תשפ</t>
    </r>
    <r>
      <rPr>
        <sz val="11"/>
        <color theme="1"/>
        <rFont val="Calibri"/>
        <family val="2"/>
        <charset val="1"/>
      </rPr>
      <t>"</t>
    </r>
    <r>
      <rPr>
        <sz val="11"/>
        <color theme="1"/>
        <rFont val="FreeSans"/>
        <family val="2"/>
      </rPr>
      <t>ד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</si>
  <si>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מה אמיתי</t>
    </r>
    <r>
      <rPr>
        <sz val="11"/>
        <color theme="1"/>
        <rFont val="Calibri"/>
        <family val="2"/>
        <charset val="1"/>
      </rPr>
      <t xml:space="preserve">: institution_symbol, school_name, authority_name, school_stage, </t>
    </r>
    <r>
      <rPr>
        <sz val="11"/>
        <color theme="1"/>
        <rFont val="FreeSans"/>
        <family val="2"/>
      </rPr>
      <t>ומדדי ה</t>
    </r>
    <r>
      <rPr>
        <sz val="11"/>
        <color theme="1"/>
        <rFont val="Calibri"/>
        <family val="2"/>
        <charset val="1"/>
      </rPr>
      <t>-Real_Schools_Reference</t>
    </r>
  </si>
  <si>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FreeSans"/>
        <family val="2"/>
      </rPr>
      <t>מספר תלמידי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FreeSans"/>
        <family val="2"/>
      </rPr>
      <t>כיתות חינוך מיוחד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>שיעור הכלה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>אשכול סוציו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FreeSans"/>
        <family val="2"/>
      </rPr>
      <t>אקונומי</t>
    </r>
    <r>
      <rPr>
        <sz val="11"/>
        <color theme="1"/>
        <rFont val="Calibri"/>
        <family val="2"/>
        <charset val="1"/>
      </rPr>
      <t xml:space="preserve">) - </t>
    </r>
    <r>
      <rPr>
        <sz val="11"/>
        <color theme="1"/>
        <rFont val="FreeSans"/>
        <family val="2"/>
      </rPr>
      <t>אלו נתונים מוסדיים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FreeSans"/>
        <family val="2"/>
      </rPr>
      <t>מצטברים ציבוריים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</si>
  <si>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מה פיקטיבי לחלוטין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כל שורה בגיליון </t>
    </r>
    <r>
      <rPr>
        <sz val="11"/>
        <color theme="1"/>
        <rFont val="Calibri"/>
        <family val="2"/>
        <charset val="1"/>
      </rPr>
      <t xml:space="preserve">Students_Synthetic - student_id, </t>
    </r>
    <r>
      <rPr>
        <sz val="11"/>
        <color theme="1"/>
        <rFont val="FreeSans"/>
        <family val="2"/>
      </rPr>
      <t>שם התלמיד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>סוג הליקוי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>סוג השיבוץ האישי</t>
    </r>
    <r>
      <rPr>
        <sz val="11"/>
        <color theme="1"/>
        <rFont val="Calibri"/>
        <family val="2"/>
        <charset val="1"/>
      </rPr>
      <t>,</t>
    </r>
  </si>
  <si>
    <r>
      <rPr>
        <sz val="11"/>
        <color theme="1"/>
        <rFont val="FreeSans"/>
        <family val="2"/>
      </rPr>
      <t>שעות תמיכה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>יעדים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>התאמות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>אין קשר בין הרשומות הבודדות לתלמידים אמיתיים בבתי הספר הללו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</si>
  <si>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FreeSans"/>
        <family val="2"/>
      </rPr>
      <t>תלמידי דמה הוקצו לכל בית ספר אמיתי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כאשר בבתי ספר מסוג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FreeSans"/>
        <family val="2"/>
      </rPr>
      <t>מיוחד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FreeSans"/>
        <family val="2"/>
      </rPr>
      <t>כל התלמידים משובצים ב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FreeSans"/>
        <family val="2"/>
      </rPr>
      <t>חינוך מיוחד נפרד</t>
    </r>
    <r>
      <rPr>
        <sz val="11"/>
        <color theme="1"/>
        <rFont val="Calibri"/>
        <family val="2"/>
        <charset val="1"/>
      </rPr>
      <t>',</t>
    </r>
  </si>
  <si>
    <r>
      <rPr>
        <sz val="11"/>
        <color theme="1"/>
        <rFont val="FreeSans"/>
        <family val="2"/>
      </rPr>
      <t xml:space="preserve">ובבתי ספר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FreeSans"/>
        <family val="2"/>
      </rPr>
      <t>רגיל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FreeSans"/>
        <family val="2"/>
      </rPr>
      <t>מתחלקים בין הכלה מלאה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FreeSans"/>
        <family val="2"/>
      </rPr>
      <t>חלקית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FreeSans"/>
        <family val="2"/>
      </rPr>
      <t xml:space="preserve">כיתה מיוחדת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כדי לשקף באופן ריאלי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FreeSans"/>
        <family val="2"/>
      </rPr>
      <t>אך לא מדויק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FreeSans"/>
        <family val="2"/>
      </rPr>
      <t>את התמהיל הצפוי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</si>
  <si>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השימוש המיועד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בדיקת פייפליין החילוץ </t>
    </r>
    <r>
      <rPr>
        <sz val="11"/>
        <color theme="1"/>
        <rFont val="Calibri"/>
        <family val="2"/>
        <charset val="1"/>
      </rPr>
      <t xml:space="preserve">(Document Intelligence) </t>
    </r>
    <r>
      <rPr>
        <sz val="11"/>
        <color theme="1"/>
        <rFont val="FreeSans"/>
        <family val="2"/>
      </rPr>
      <t>על הקשר של בתי ספר אמיתיים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>ללא כל חשיפת מידע</t>
    </r>
  </si>
  <si>
    <r>
      <rPr>
        <sz val="11"/>
        <color theme="1"/>
        <rFont val="FreeSans"/>
        <family val="2"/>
      </rPr>
      <t>מזהה על תלמיד אמיתי כלשהו</t>
    </r>
    <r>
      <rPr>
        <sz val="11"/>
        <color theme="1"/>
        <rFont val="Calibri"/>
        <family val="2"/>
        <charset val="1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</si>
</sst>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1"/>
      <color theme="1"/>
      <name val="Calibri"/>
      <family val="2"/>
      <charset val="1"/>
    </font>
    <font>
      <b/>
      <sz val="11"/>
      <color rgb="FFFFFFFF"/>
      <name val="Cambria"/>
      <charset val="1"/>
    </font>
    <font>
      <sz val="11"/>
      <color theme="1"/>
      <name val="FreeSans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70AD47"/>
        <bgColor rgb="FF33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64" fontId="0" fillId="0" borderId="0" xfId="0" applyNumberFormat="1"/>
    <xf numFmtId="0" fontId="1" fillId="3" borderId="0" xfId="0" applyFont="1" applyFill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1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640625" defaultRowHeight="14.25"/>
  <cols>
    <col min="1" max="1" width="14" customWidth="1"/>
    <col min="2" max="2" width="27" customWidth="1"/>
    <col min="3" max="3" width="22" customWidth="1"/>
    <col min="4" max="4" width="15" customWidth="1"/>
    <col min="5" max="5" width="18" customWidth="1"/>
    <col min="6" max="6" width="16" customWidth="1"/>
    <col min="7" max="7" width="15" customWidth="1"/>
    <col min="8" max="8" width="23" customWidth="1"/>
    <col min="9" max="9" width="18" customWidth="1"/>
    <col min="10" max="10" width="24" customWidth="1"/>
    <col min="11" max="11" width="14" customWidth="1"/>
    <col min="12" max="12" width="18" customWidth="1"/>
    <col min="13" max="13" width="15" customWidth="1"/>
    <col min="14" max="14" width="14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 t="s">
        <v>15</v>
      </c>
      <c r="C2">
        <v>144329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>
        <v>2</v>
      </c>
      <c r="K2" s="2" t="s">
        <v>22</v>
      </c>
      <c r="L2" s="2" t="s">
        <v>23</v>
      </c>
      <c r="M2" s="3">
        <v>46390</v>
      </c>
      <c r="N2">
        <v>0.83</v>
      </c>
    </row>
    <row r="3" spans="1:14">
      <c r="A3" t="s">
        <v>24</v>
      </c>
      <c r="B3" s="2" t="s">
        <v>25</v>
      </c>
      <c r="C3">
        <v>144329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26</v>
      </c>
      <c r="I3" s="2" t="s">
        <v>21</v>
      </c>
      <c r="J3">
        <v>3</v>
      </c>
      <c r="K3" s="2" t="s">
        <v>27</v>
      </c>
      <c r="L3" s="2" t="s">
        <v>28</v>
      </c>
      <c r="M3" s="3">
        <v>46535</v>
      </c>
      <c r="N3">
        <v>0.75</v>
      </c>
    </row>
    <row r="4" spans="1:14">
      <c r="A4" t="s">
        <v>29</v>
      </c>
      <c r="B4" s="2" t="s">
        <v>30</v>
      </c>
      <c r="C4">
        <v>144329</v>
      </c>
      <c r="D4" s="2" t="s">
        <v>16</v>
      </c>
      <c r="E4" s="2" t="s">
        <v>17</v>
      </c>
      <c r="F4" s="2" t="s">
        <v>18</v>
      </c>
      <c r="G4" s="2" t="s">
        <v>19</v>
      </c>
      <c r="H4" s="2" t="s">
        <v>31</v>
      </c>
      <c r="I4" s="2" t="s">
        <v>32</v>
      </c>
      <c r="J4">
        <v>6</v>
      </c>
      <c r="K4" s="2" t="s">
        <v>33</v>
      </c>
      <c r="L4" s="2" t="s">
        <v>34</v>
      </c>
      <c r="M4" s="3">
        <v>46406</v>
      </c>
      <c r="N4">
        <v>0.74</v>
      </c>
    </row>
    <row r="5" spans="1:14">
      <c r="A5" t="s">
        <v>35</v>
      </c>
      <c r="B5" s="2" t="s">
        <v>36</v>
      </c>
      <c r="C5">
        <v>144329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37</v>
      </c>
      <c r="I5" s="2" t="s">
        <v>32</v>
      </c>
      <c r="J5">
        <v>6</v>
      </c>
      <c r="K5" s="2" t="s">
        <v>38</v>
      </c>
      <c r="L5" s="2" t="s">
        <v>39</v>
      </c>
      <c r="M5" s="3">
        <v>46517</v>
      </c>
      <c r="N5">
        <v>0.86</v>
      </c>
    </row>
    <row r="6" spans="1:14">
      <c r="A6" t="s">
        <v>40</v>
      </c>
      <c r="B6" s="2" t="s">
        <v>41</v>
      </c>
      <c r="C6">
        <v>144329</v>
      </c>
      <c r="D6" s="2" t="s">
        <v>16</v>
      </c>
      <c r="E6" s="2" t="s">
        <v>17</v>
      </c>
      <c r="F6" s="2" t="s">
        <v>18</v>
      </c>
      <c r="G6" s="2" t="s">
        <v>19</v>
      </c>
      <c r="H6" s="2" t="s">
        <v>42</v>
      </c>
      <c r="I6" s="2" t="s">
        <v>21</v>
      </c>
      <c r="J6">
        <v>2</v>
      </c>
      <c r="K6" s="2" t="s">
        <v>43</v>
      </c>
      <c r="L6" s="2" t="s">
        <v>44</v>
      </c>
      <c r="M6" s="3">
        <v>46412</v>
      </c>
      <c r="N6">
        <v>0.87</v>
      </c>
    </row>
    <row r="7" spans="1:14">
      <c r="A7" t="s">
        <v>45</v>
      </c>
      <c r="B7" s="2" t="s">
        <v>46</v>
      </c>
      <c r="C7">
        <v>144329</v>
      </c>
      <c r="D7" s="2" t="s">
        <v>16</v>
      </c>
      <c r="E7" s="2" t="s">
        <v>17</v>
      </c>
      <c r="F7" s="2" t="s">
        <v>18</v>
      </c>
      <c r="G7" s="2" t="s">
        <v>19</v>
      </c>
      <c r="H7" s="2" t="s">
        <v>47</v>
      </c>
      <c r="I7" s="2" t="s">
        <v>32</v>
      </c>
      <c r="J7">
        <v>6</v>
      </c>
      <c r="K7" s="2" t="s">
        <v>48</v>
      </c>
      <c r="L7" s="2" t="s">
        <v>49</v>
      </c>
      <c r="M7" s="3">
        <v>46548</v>
      </c>
      <c r="N7">
        <v>0.89</v>
      </c>
    </row>
    <row r="8" spans="1:14">
      <c r="A8" t="s">
        <v>50</v>
      </c>
      <c r="B8" s="2" t="s">
        <v>51</v>
      </c>
      <c r="C8">
        <v>144329</v>
      </c>
      <c r="D8" s="2" t="s">
        <v>16</v>
      </c>
      <c r="E8" s="2" t="s">
        <v>17</v>
      </c>
      <c r="F8" s="2" t="s">
        <v>18</v>
      </c>
      <c r="G8" s="2" t="s">
        <v>19</v>
      </c>
      <c r="H8" s="2" t="s">
        <v>47</v>
      </c>
      <c r="I8" s="2" t="s">
        <v>32</v>
      </c>
      <c r="J8">
        <v>6</v>
      </c>
      <c r="K8" s="2" t="s">
        <v>52</v>
      </c>
      <c r="L8" s="2" t="s">
        <v>53</v>
      </c>
      <c r="M8" s="3">
        <v>46451</v>
      </c>
      <c r="N8">
        <v>0.91</v>
      </c>
    </row>
    <row r="9" spans="1:14">
      <c r="A9" t="s">
        <v>54</v>
      </c>
      <c r="B9" s="2" t="s">
        <v>55</v>
      </c>
      <c r="C9">
        <v>144329</v>
      </c>
      <c r="D9" s="2" t="s">
        <v>16</v>
      </c>
      <c r="E9" s="2" t="s">
        <v>17</v>
      </c>
      <c r="F9" s="2" t="s">
        <v>18</v>
      </c>
      <c r="G9" s="2" t="s">
        <v>19</v>
      </c>
      <c r="H9" s="2" t="s">
        <v>47</v>
      </c>
      <c r="I9" s="2" t="s">
        <v>56</v>
      </c>
      <c r="J9">
        <v>10</v>
      </c>
      <c r="K9" s="2" t="s">
        <v>57</v>
      </c>
      <c r="L9" s="2" t="s">
        <v>58</v>
      </c>
      <c r="M9" s="3">
        <v>46468</v>
      </c>
      <c r="N9">
        <v>0.95</v>
      </c>
    </row>
    <row r="10" spans="1:14">
      <c r="A10" t="s">
        <v>59</v>
      </c>
      <c r="B10" s="2" t="s">
        <v>60</v>
      </c>
      <c r="C10">
        <v>260232</v>
      </c>
      <c r="D10" s="2" t="s">
        <v>61</v>
      </c>
      <c r="E10" s="2" t="s">
        <v>62</v>
      </c>
      <c r="F10" s="2" t="s">
        <v>18</v>
      </c>
      <c r="G10" s="2" t="s">
        <v>19</v>
      </c>
      <c r="H10" s="2" t="s">
        <v>63</v>
      </c>
      <c r="I10" s="2" t="s">
        <v>21</v>
      </c>
      <c r="J10">
        <v>2</v>
      </c>
      <c r="K10" s="2" t="s">
        <v>64</v>
      </c>
      <c r="L10" s="2" t="s">
        <v>65</v>
      </c>
      <c r="M10" s="3">
        <v>46495</v>
      </c>
      <c r="N10">
        <v>0.82</v>
      </c>
    </row>
    <row r="11" spans="1:14">
      <c r="A11" t="s">
        <v>66</v>
      </c>
      <c r="B11" s="2" t="s">
        <v>67</v>
      </c>
      <c r="C11">
        <v>260232</v>
      </c>
      <c r="D11" s="2" t="s">
        <v>61</v>
      </c>
      <c r="E11" s="2" t="s">
        <v>62</v>
      </c>
      <c r="F11" s="2" t="s">
        <v>18</v>
      </c>
      <c r="G11" s="2" t="s">
        <v>19</v>
      </c>
      <c r="H11" s="2" t="s">
        <v>20</v>
      </c>
      <c r="I11" s="2" t="s">
        <v>32</v>
      </c>
      <c r="J11">
        <v>8</v>
      </c>
      <c r="K11" s="2" t="s">
        <v>68</v>
      </c>
      <c r="L11" s="2" t="s">
        <v>69</v>
      </c>
      <c r="M11" s="3">
        <v>46551</v>
      </c>
      <c r="N11">
        <v>0.74</v>
      </c>
    </row>
    <row r="12" spans="1:14">
      <c r="A12" t="s">
        <v>70</v>
      </c>
      <c r="B12" s="2" t="s">
        <v>71</v>
      </c>
      <c r="C12">
        <v>260232</v>
      </c>
      <c r="D12" s="2" t="s">
        <v>61</v>
      </c>
      <c r="E12" s="2" t="s">
        <v>62</v>
      </c>
      <c r="F12" s="2" t="s">
        <v>18</v>
      </c>
      <c r="G12" s="2" t="s">
        <v>19</v>
      </c>
      <c r="H12" s="2" t="s">
        <v>20</v>
      </c>
      <c r="I12" s="2" t="s">
        <v>21</v>
      </c>
      <c r="J12">
        <v>2</v>
      </c>
      <c r="K12" s="2" t="s">
        <v>72</v>
      </c>
      <c r="L12" s="2" t="s">
        <v>73</v>
      </c>
      <c r="M12" s="3">
        <v>46415</v>
      </c>
      <c r="N12">
        <v>0.77</v>
      </c>
    </row>
    <row r="13" spans="1:14">
      <c r="A13" t="s">
        <v>74</v>
      </c>
      <c r="B13" s="2" t="s">
        <v>75</v>
      </c>
      <c r="C13">
        <v>260232</v>
      </c>
      <c r="D13" s="2" t="s">
        <v>61</v>
      </c>
      <c r="E13" s="2" t="s">
        <v>62</v>
      </c>
      <c r="F13" s="2" t="s">
        <v>18</v>
      </c>
      <c r="G13" s="2" t="s">
        <v>19</v>
      </c>
      <c r="H13" s="2" t="s">
        <v>47</v>
      </c>
      <c r="I13" s="2" t="s">
        <v>32</v>
      </c>
      <c r="J13">
        <v>8</v>
      </c>
      <c r="K13" s="2" t="s">
        <v>76</v>
      </c>
      <c r="L13" s="2" t="s">
        <v>77</v>
      </c>
      <c r="M13" s="3">
        <v>46392</v>
      </c>
      <c r="N13">
        <v>0.75</v>
      </c>
    </row>
    <row r="14" spans="1:14">
      <c r="A14" t="s">
        <v>78</v>
      </c>
      <c r="B14" s="2" t="s">
        <v>79</v>
      </c>
      <c r="C14">
        <v>260232</v>
      </c>
      <c r="D14" s="2" t="s">
        <v>61</v>
      </c>
      <c r="E14" s="2" t="s">
        <v>62</v>
      </c>
      <c r="F14" s="2" t="s">
        <v>18</v>
      </c>
      <c r="G14" s="2" t="s">
        <v>19</v>
      </c>
      <c r="H14" s="2" t="s">
        <v>20</v>
      </c>
      <c r="I14" s="2" t="s">
        <v>32</v>
      </c>
      <c r="J14">
        <v>5</v>
      </c>
      <c r="K14" s="2" t="s">
        <v>80</v>
      </c>
      <c r="L14" s="2" t="s">
        <v>81</v>
      </c>
      <c r="M14" s="3">
        <v>46517</v>
      </c>
      <c r="N14">
        <v>0.97</v>
      </c>
    </row>
    <row r="15" spans="1:14">
      <c r="A15" t="s">
        <v>82</v>
      </c>
      <c r="B15" s="2" t="s">
        <v>83</v>
      </c>
      <c r="C15">
        <v>260232</v>
      </c>
      <c r="D15" s="2" t="s">
        <v>61</v>
      </c>
      <c r="E15" s="2" t="s">
        <v>62</v>
      </c>
      <c r="F15" s="2" t="s">
        <v>18</v>
      </c>
      <c r="G15" s="2" t="s">
        <v>19</v>
      </c>
      <c r="H15" s="2" t="s">
        <v>84</v>
      </c>
      <c r="I15" s="2" t="s">
        <v>32</v>
      </c>
      <c r="J15">
        <v>6</v>
      </c>
      <c r="K15" s="2" t="s">
        <v>85</v>
      </c>
      <c r="L15" s="2" t="s">
        <v>86</v>
      </c>
      <c r="M15" s="3">
        <v>46489</v>
      </c>
      <c r="N15">
        <v>0.91</v>
      </c>
    </row>
    <row r="16" spans="1:14">
      <c r="A16" t="s">
        <v>87</v>
      </c>
      <c r="B16" s="2" t="s">
        <v>88</v>
      </c>
      <c r="C16">
        <v>260232</v>
      </c>
      <c r="D16" s="2" t="s">
        <v>61</v>
      </c>
      <c r="E16" s="2" t="s">
        <v>62</v>
      </c>
      <c r="F16" s="2" t="s">
        <v>18</v>
      </c>
      <c r="G16" s="2" t="s">
        <v>19</v>
      </c>
      <c r="H16" s="2" t="s">
        <v>89</v>
      </c>
      <c r="I16" s="2" t="s">
        <v>32</v>
      </c>
      <c r="J16">
        <v>8</v>
      </c>
      <c r="K16" s="2" t="s">
        <v>90</v>
      </c>
      <c r="L16" s="2" t="s">
        <v>91</v>
      </c>
      <c r="M16" s="3">
        <v>46484</v>
      </c>
      <c r="N16">
        <v>0.81</v>
      </c>
    </row>
    <row r="17" spans="1:14">
      <c r="A17" t="s">
        <v>92</v>
      </c>
      <c r="B17" s="2" t="s">
        <v>93</v>
      </c>
      <c r="C17">
        <v>260232</v>
      </c>
      <c r="D17" s="2" t="s">
        <v>61</v>
      </c>
      <c r="E17" s="2" t="s">
        <v>62</v>
      </c>
      <c r="F17" s="2" t="s">
        <v>18</v>
      </c>
      <c r="G17" s="2" t="s">
        <v>19</v>
      </c>
      <c r="H17" s="2" t="s">
        <v>89</v>
      </c>
      <c r="I17" s="2" t="s">
        <v>56</v>
      </c>
      <c r="J17">
        <v>12</v>
      </c>
      <c r="K17" s="2" t="s">
        <v>94</v>
      </c>
      <c r="L17" s="2" t="s">
        <v>95</v>
      </c>
      <c r="M17" s="3">
        <v>46549</v>
      </c>
      <c r="N17">
        <v>0.74</v>
      </c>
    </row>
    <row r="18" spans="1:14">
      <c r="A18" t="s">
        <v>96</v>
      </c>
      <c r="B18" s="2" t="s">
        <v>97</v>
      </c>
      <c r="C18">
        <v>270140</v>
      </c>
      <c r="D18" s="2" t="s">
        <v>98</v>
      </c>
      <c r="E18" s="2" t="s">
        <v>99</v>
      </c>
      <c r="F18" s="2" t="s">
        <v>18</v>
      </c>
      <c r="G18" s="2" t="s">
        <v>19</v>
      </c>
      <c r="H18" s="2" t="s">
        <v>31</v>
      </c>
      <c r="I18" s="2" t="s">
        <v>21</v>
      </c>
      <c r="J18">
        <v>2</v>
      </c>
      <c r="K18" s="2" t="s">
        <v>72</v>
      </c>
      <c r="L18" s="2" t="s">
        <v>100</v>
      </c>
      <c r="M18" s="3">
        <v>46534</v>
      </c>
      <c r="N18">
        <v>0.87</v>
      </c>
    </row>
    <row r="19" spans="1:14">
      <c r="A19" t="s">
        <v>101</v>
      </c>
      <c r="B19" s="2" t="s">
        <v>102</v>
      </c>
      <c r="C19">
        <v>270140</v>
      </c>
      <c r="D19" s="2" t="s">
        <v>98</v>
      </c>
      <c r="E19" s="2" t="s">
        <v>99</v>
      </c>
      <c r="F19" s="2" t="s">
        <v>18</v>
      </c>
      <c r="G19" s="2" t="s">
        <v>19</v>
      </c>
      <c r="H19" s="2" t="s">
        <v>31</v>
      </c>
      <c r="I19" s="2" t="s">
        <v>56</v>
      </c>
      <c r="J19">
        <v>15</v>
      </c>
      <c r="K19" s="2" t="s">
        <v>103</v>
      </c>
      <c r="L19" s="2" t="s">
        <v>104</v>
      </c>
      <c r="M19" s="3">
        <v>46396</v>
      </c>
      <c r="N19">
        <v>0.78</v>
      </c>
    </row>
    <row r="20" spans="1:14">
      <c r="A20" t="s">
        <v>105</v>
      </c>
      <c r="B20" s="2" t="s">
        <v>106</v>
      </c>
      <c r="C20">
        <v>270140</v>
      </c>
      <c r="D20" s="2" t="s">
        <v>98</v>
      </c>
      <c r="E20" s="2" t="s">
        <v>99</v>
      </c>
      <c r="F20" s="2" t="s">
        <v>18</v>
      </c>
      <c r="G20" s="2" t="s">
        <v>19</v>
      </c>
      <c r="H20" s="2" t="s">
        <v>20</v>
      </c>
      <c r="I20" s="2" t="s">
        <v>21</v>
      </c>
      <c r="J20">
        <v>4</v>
      </c>
      <c r="K20" s="2" t="s">
        <v>107</v>
      </c>
      <c r="L20" s="2" t="s">
        <v>108</v>
      </c>
      <c r="M20" s="3">
        <v>46508</v>
      </c>
      <c r="N20">
        <v>0.95</v>
      </c>
    </row>
    <row r="21" spans="1:14">
      <c r="A21" t="s">
        <v>109</v>
      </c>
      <c r="B21" s="2" t="s">
        <v>110</v>
      </c>
      <c r="C21">
        <v>270140</v>
      </c>
      <c r="D21" s="2" t="s">
        <v>98</v>
      </c>
      <c r="E21" s="2" t="s">
        <v>99</v>
      </c>
      <c r="F21" s="2" t="s">
        <v>18</v>
      </c>
      <c r="G21" s="2" t="s">
        <v>19</v>
      </c>
      <c r="H21" s="2" t="s">
        <v>47</v>
      </c>
      <c r="I21" s="2" t="s">
        <v>21</v>
      </c>
      <c r="J21">
        <v>2</v>
      </c>
      <c r="K21" s="2" t="s">
        <v>111</v>
      </c>
      <c r="L21" s="2" t="s">
        <v>112</v>
      </c>
      <c r="M21" s="3">
        <v>46509</v>
      </c>
      <c r="N21">
        <v>0.78</v>
      </c>
    </row>
    <row r="22" spans="1:14">
      <c r="A22" t="s">
        <v>113</v>
      </c>
      <c r="B22" s="2" t="s">
        <v>114</v>
      </c>
      <c r="C22">
        <v>270140</v>
      </c>
      <c r="D22" s="2" t="s">
        <v>98</v>
      </c>
      <c r="E22" s="2" t="s">
        <v>99</v>
      </c>
      <c r="F22" s="2" t="s">
        <v>18</v>
      </c>
      <c r="G22" s="2" t="s">
        <v>19</v>
      </c>
      <c r="H22" s="2" t="s">
        <v>20</v>
      </c>
      <c r="I22" s="2" t="s">
        <v>32</v>
      </c>
      <c r="J22">
        <v>6</v>
      </c>
      <c r="K22" s="2" t="s">
        <v>115</v>
      </c>
      <c r="L22" s="2" t="s">
        <v>116</v>
      </c>
      <c r="M22" s="3">
        <v>46525</v>
      </c>
      <c r="N22">
        <v>0.93</v>
      </c>
    </row>
    <row r="23" spans="1:14">
      <c r="A23" t="s">
        <v>117</v>
      </c>
      <c r="B23" s="2" t="s">
        <v>118</v>
      </c>
      <c r="C23">
        <v>270140</v>
      </c>
      <c r="D23" s="2" t="s">
        <v>98</v>
      </c>
      <c r="E23" s="2" t="s">
        <v>99</v>
      </c>
      <c r="F23" s="2" t="s">
        <v>18</v>
      </c>
      <c r="G23" s="2" t="s">
        <v>19</v>
      </c>
      <c r="H23" s="2" t="s">
        <v>47</v>
      </c>
      <c r="I23" s="2" t="s">
        <v>56</v>
      </c>
      <c r="J23">
        <v>10</v>
      </c>
      <c r="K23" s="2" t="s">
        <v>119</v>
      </c>
      <c r="L23" s="2" t="s">
        <v>120</v>
      </c>
      <c r="M23" s="3">
        <v>46546</v>
      </c>
      <c r="N23">
        <v>0.83</v>
      </c>
    </row>
    <row r="24" spans="1:14">
      <c r="A24" t="s">
        <v>121</v>
      </c>
      <c r="B24" s="2" t="s">
        <v>122</v>
      </c>
      <c r="C24">
        <v>270140</v>
      </c>
      <c r="D24" s="2" t="s">
        <v>98</v>
      </c>
      <c r="E24" s="2" t="s">
        <v>99</v>
      </c>
      <c r="F24" s="2" t="s">
        <v>18</v>
      </c>
      <c r="G24" s="2" t="s">
        <v>19</v>
      </c>
      <c r="H24" s="2" t="s">
        <v>89</v>
      </c>
      <c r="I24" s="2" t="s">
        <v>21</v>
      </c>
      <c r="J24">
        <v>2</v>
      </c>
      <c r="K24" s="2" t="s">
        <v>123</v>
      </c>
      <c r="L24" s="2" t="s">
        <v>124</v>
      </c>
      <c r="M24" s="3">
        <v>46493</v>
      </c>
      <c r="N24">
        <v>0.76</v>
      </c>
    </row>
    <row r="25" spans="1:14">
      <c r="A25" t="s">
        <v>125</v>
      </c>
      <c r="B25" s="2" t="s">
        <v>126</v>
      </c>
      <c r="C25">
        <v>270140</v>
      </c>
      <c r="D25" s="2" t="s">
        <v>98</v>
      </c>
      <c r="E25" s="2" t="s">
        <v>99</v>
      </c>
      <c r="F25" s="2" t="s">
        <v>18</v>
      </c>
      <c r="G25" s="2" t="s">
        <v>19</v>
      </c>
      <c r="H25" s="2" t="s">
        <v>42</v>
      </c>
      <c r="I25" s="2" t="s">
        <v>32</v>
      </c>
      <c r="J25">
        <v>6</v>
      </c>
      <c r="K25" s="2" t="s">
        <v>127</v>
      </c>
      <c r="L25" s="2" t="s">
        <v>128</v>
      </c>
      <c r="M25" s="3">
        <v>46464</v>
      </c>
      <c r="N25">
        <v>0.84</v>
      </c>
    </row>
    <row r="26" spans="1:14">
      <c r="A26" t="s">
        <v>129</v>
      </c>
      <c r="B26" s="2" t="s">
        <v>130</v>
      </c>
      <c r="C26">
        <v>340190</v>
      </c>
      <c r="D26" s="2" t="s">
        <v>131</v>
      </c>
      <c r="E26" s="2" t="s">
        <v>132</v>
      </c>
      <c r="F26" s="2" t="s">
        <v>18</v>
      </c>
      <c r="G26" s="2" t="s">
        <v>19</v>
      </c>
      <c r="H26" s="2" t="s">
        <v>26</v>
      </c>
      <c r="I26" s="2" t="s">
        <v>21</v>
      </c>
      <c r="J26">
        <v>4</v>
      </c>
      <c r="K26" s="2" t="s">
        <v>133</v>
      </c>
      <c r="L26" s="2" t="s">
        <v>134</v>
      </c>
      <c r="M26" s="3">
        <v>46412</v>
      </c>
      <c r="N26">
        <v>0.77</v>
      </c>
    </row>
    <row r="27" spans="1:14">
      <c r="A27" t="s">
        <v>135</v>
      </c>
      <c r="B27" s="2" t="s">
        <v>79</v>
      </c>
      <c r="C27">
        <v>340190</v>
      </c>
      <c r="D27" s="2" t="s">
        <v>131</v>
      </c>
      <c r="E27" s="2" t="s">
        <v>132</v>
      </c>
      <c r="F27" s="2" t="s">
        <v>18</v>
      </c>
      <c r="G27" s="2" t="s">
        <v>19</v>
      </c>
      <c r="H27" s="2" t="s">
        <v>31</v>
      </c>
      <c r="I27" s="2" t="s">
        <v>56</v>
      </c>
      <c r="J27">
        <v>12</v>
      </c>
      <c r="K27" s="2" t="s">
        <v>136</v>
      </c>
      <c r="L27" s="2" t="s">
        <v>137</v>
      </c>
      <c r="M27" s="3">
        <v>46396</v>
      </c>
      <c r="N27">
        <v>0.96</v>
      </c>
    </row>
    <row r="28" spans="1:14">
      <c r="A28" t="s">
        <v>138</v>
      </c>
      <c r="B28" s="2" t="s">
        <v>139</v>
      </c>
      <c r="C28">
        <v>340190</v>
      </c>
      <c r="D28" s="2" t="s">
        <v>131</v>
      </c>
      <c r="E28" s="2" t="s">
        <v>132</v>
      </c>
      <c r="F28" s="2" t="s">
        <v>18</v>
      </c>
      <c r="G28" s="2" t="s">
        <v>19</v>
      </c>
      <c r="H28" s="2" t="s">
        <v>26</v>
      </c>
      <c r="I28" s="2" t="s">
        <v>21</v>
      </c>
      <c r="J28">
        <v>2</v>
      </c>
      <c r="K28" s="2" t="s">
        <v>140</v>
      </c>
      <c r="L28" s="2" t="s">
        <v>141</v>
      </c>
      <c r="M28" s="3">
        <v>46546</v>
      </c>
      <c r="N28">
        <v>0.96</v>
      </c>
    </row>
    <row r="29" spans="1:14">
      <c r="A29" t="s">
        <v>142</v>
      </c>
      <c r="B29" s="2" t="s">
        <v>143</v>
      </c>
      <c r="C29">
        <v>340190</v>
      </c>
      <c r="D29" s="2" t="s">
        <v>131</v>
      </c>
      <c r="E29" s="2" t="s">
        <v>132</v>
      </c>
      <c r="F29" s="2" t="s">
        <v>18</v>
      </c>
      <c r="G29" s="2" t="s">
        <v>19</v>
      </c>
      <c r="H29" s="2" t="s">
        <v>144</v>
      </c>
      <c r="I29" s="2" t="s">
        <v>21</v>
      </c>
      <c r="J29">
        <v>2</v>
      </c>
      <c r="K29" s="2" t="s">
        <v>145</v>
      </c>
      <c r="L29" s="2" t="s">
        <v>146</v>
      </c>
      <c r="M29" s="3">
        <v>46448</v>
      </c>
      <c r="N29">
        <v>0.72</v>
      </c>
    </row>
    <row r="30" spans="1:14">
      <c r="A30" t="s">
        <v>147</v>
      </c>
      <c r="B30" s="2" t="s">
        <v>148</v>
      </c>
      <c r="C30">
        <v>340190</v>
      </c>
      <c r="D30" s="2" t="s">
        <v>131</v>
      </c>
      <c r="E30" s="2" t="s">
        <v>132</v>
      </c>
      <c r="F30" s="2" t="s">
        <v>18</v>
      </c>
      <c r="G30" s="2" t="s">
        <v>19</v>
      </c>
      <c r="H30" s="2" t="s">
        <v>42</v>
      </c>
      <c r="I30" s="2" t="s">
        <v>32</v>
      </c>
      <c r="J30">
        <v>5</v>
      </c>
      <c r="K30" s="2" t="s">
        <v>149</v>
      </c>
      <c r="L30" s="2" t="s">
        <v>150</v>
      </c>
      <c r="M30" s="3">
        <v>46562</v>
      </c>
      <c r="N30">
        <v>0.89</v>
      </c>
    </row>
    <row r="31" spans="1:14">
      <c r="A31" t="s">
        <v>151</v>
      </c>
      <c r="B31" s="2" t="s">
        <v>152</v>
      </c>
      <c r="C31">
        <v>340190</v>
      </c>
      <c r="D31" s="2" t="s">
        <v>131</v>
      </c>
      <c r="E31" s="2" t="s">
        <v>132</v>
      </c>
      <c r="F31" s="2" t="s">
        <v>18</v>
      </c>
      <c r="G31" s="2" t="s">
        <v>19</v>
      </c>
      <c r="H31" s="2" t="s">
        <v>144</v>
      </c>
      <c r="I31" s="2" t="s">
        <v>56</v>
      </c>
      <c r="J31">
        <v>10</v>
      </c>
      <c r="K31" s="2" t="s">
        <v>153</v>
      </c>
      <c r="L31" s="2" t="s">
        <v>154</v>
      </c>
      <c r="M31" s="3">
        <v>46515</v>
      </c>
      <c r="N31">
        <v>0.9</v>
      </c>
    </row>
    <row r="32" spans="1:14">
      <c r="A32" t="s">
        <v>155</v>
      </c>
      <c r="B32" s="2" t="s">
        <v>156</v>
      </c>
      <c r="C32">
        <v>340190</v>
      </c>
      <c r="D32" s="2" t="s">
        <v>131</v>
      </c>
      <c r="E32" s="2" t="s">
        <v>132</v>
      </c>
      <c r="F32" s="2" t="s">
        <v>18</v>
      </c>
      <c r="G32" s="2" t="s">
        <v>19</v>
      </c>
      <c r="H32" s="2" t="s">
        <v>144</v>
      </c>
      <c r="I32" s="2" t="s">
        <v>21</v>
      </c>
      <c r="J32">
        <v>3</v>
      </c>
      <c r="K32" s="2" t="s">
        <v>157</v>
      </c>
      <c r="L32" s="2" t="s">
        <v>158</v>
      </c>
      <c r="M32" s="3">
        <v>46430</v>
      </c>
      <c r="N32">
        <v>0.77</v>
      </c>
    </row>
    <row r="33" spans="1:14">
      <c r="A33" t="s">
        <v>159</v>
      </c>
      <c r="B33" s="2" t="s">
        <v>160</v>
      </c>
      <c r="C33">
        <v>340190</v>
      </c>
      <c r="D33" s="2" t="s">
        <v>131</v>
      </c>
      <c r="E33" s="2" t="s">
        <v>132</v>
      </c>
      <c r="F33" s="2" t="s">
        <v>18</v>
      </c>
      <c r="G33" s="2" t="s">
        <v>19</v>
      </c>
      <c r="H33" s="2" t="s">
        <v>63</v>
      </c>
      <c r="I33" s="2" t="s">
        <v>21</v>
      </c>
      <c r="J33">
        <v>3</v>
      </c>
      <c r="K33" s="2" t="s">
        <v>111</v>
      </c>
      <c r="L33" s="2" t="s">
        <v>161</v>
      </c>
      <c r="M33" s="3">
        <v>46392</v>
      </c>
      <c r="N33">
        <v>0.82</v>
      </c>
    </row>
    <row r="34" spans="1:14">
      <c r="A34" t="s">
        <v>162</v>
      </c>
      <c r="B34" s="2" t="s">
        <v>163</v>
      </c>
      <c r="C34">
        <v>415489</v>
      </c>
      <c r="D34" s="2" t="s">
        <v>164</v>
      </c>
      <c r="E34" s="2" t="s">
        <v>165</v>
      </c>
      <c r="F34" s="2" t="s">
        <v>166</v>
      </c>
      <c r="G34" s="2" t="s">
        <v>19</v>
      </c>
      <c r="H34" s="2" t="s">
        <v>26</v>
      </c>
      <c r="I34" s="2" t="s">
        <v>21</v>
      </c>
      <c r="J34">
        <v>3</v>
      </c>
      <c r="K34" s="2" t="s">
        <v>167</v>
      </c>
      <c r="L34" s="2" t="s">
        <v>168</v>
      </c>
      <c r="M34" s="3">
        <v>46558</v>
      </c>
      <c r="N34">
        <v>0.89</v>
      </c>
    </row>
    <row r="35" spans="1:14">
      <c r="A35" t="s">
        <v>169</v>
      </c>
      <c r="B35" s="2" t="s">
        <v>170</v>
      </c>
      <c r="C35">
        <v>415489</v>
      </c>
      <c r="D35" s="2" t="s">
        <v>164</v>
      </c>
      <c r="E35" s="2" t="s">
        <v>165</v>
      </c>
      <c r="F35" s="2" t="s">
        <v>166</v>
      </c>
      <c r="G35" s="2" t="s">
        <v>19</v>
      </c>
      <c r="H35" s="2" t="s">
        <v>31</v>
      </c>
      <c r="I35" s="2" t="s">
        <v>32</v>
      </c>
      <c r="J35">
        <v>8</v>
      </c>
      <c r="K35" s="2" t="s">
        <v>33</v>
      </c>
      <c r="L35" s="2" t="s">
        <v>171</v>
      </c>
      <c r="M35" s="3">
        <v>46439</v>
      </c>
      <c r="N35">
        <v>0.81</v>
      </c>
    </row>
    <row r="36" spans="1:14">
      <c r="A36" t="s">
        <v>172</v>
      </c>
      <c r="B36" s="2" t="s">
        <v>173</v>
      </c>
      <c r="C36">
        <v>415489</v>
      </c>
      <c r="D36" s="2" t="s">
        <v>164</v>
      </c>
      <c r="E36" s="2" t="s">
        <v>165</v>
      </c>
      <c r="F36" s="2" t="s">
        <v>166</v>
      </c>
      <c r="G36" s="2" t="s">
        <v>19</v>
      </c>
      <c r="H36" s="2" t="s">
        <v>20</v>
      </c>
      <c r="I36" s="2" t="s">
        <v>56</v>
      </c>
      <c r="J36">
        <v>15</v>
      </c>
      <c r="K36" s="2" t="s">
        <v>174</v>
      </c>
      <c r="L36" s="2" t="s">
        <v>175</v>
      </c>
      <c r="M36" s="3">
        <v>46411</v>
      </c>
      <c r="N36">
        <v>0.96</v>
      </c>
    </row>
    <row r="37" spans="1:14">
      <c r="A37" t="s">
        <v>176</v>
      </c>
      <c r="B37" s="2" t="s">
        <v>97</v>
      </c>
      <c r="C37">
        <v>415489</v>
      </c>
      <c r="D37" s="2" t="s">
        <v>164</v>
      </c>
      <c r="E37" s="2" t="s">
        <v>165</v>
      </c>
      <c r="F37" s="2" t="s">
        <v>166</v>
      </c>
      <c r="G37" s="2" t="s">
        <v>19</v>
      </c>
      <c r="H37" s="2" t="s">
        <v>144</v>
      </c>
      <c r="I37" s="2" t="s">
        <v>32</v>
      </c>
      <c r="J37">
        <v>8</v>
      </c>
      <c r="K37" s="2" t="s">
        <v>177</v>
      </c>
      <c r="L37" s="2" t="s">
        <v>178</v>
      </c>
      <c r="M37" s="3">
        <v>46505</v>
      </c>
      <c r="N37">
        <v>0.82</v>
      </c>
    </row>
    <row r="38" spans="1:14">
      <c r="A38" t="s">
        <v>179</v>
      </c>
      <c r="B38" s="2" t="s">
        <v>180</v>
      </c>
      <c r="C38">
        <v>415489</v>
      </c>
      <c r="D38" s="2" t="s">
        <v>164</v>
      </c>
      <c r="E38" s="2" t="s">
        <v>165</v>
      </c>
      <c r="F38" s="2" t="s">
        <v>166</v>
      </c>
      <c r="G38" s="2" t="s">
        <v>19</v>
      </c>
      <c r="H38" s="2" t="s">
        <v>63</v>
      </c>
      <c r="I38" s="2" t="s">
        <v>21</v>
      </c>
      <c r="J38">
        <v>2</v>
      </c>
      <c r="K38" s="2" t="s">
        <v>181</v>
      </c>
      <c r="L38" s="2" t="s">
        <v>182</v>
      </c>
      <c r="M38" s="3">
        <v>46548</v>
      </c>
      <c r="N38">
        <v>0.88</v>
      </c>
    </row>
    <row r="39" spans="1:14">
      <c r="A39" t="s">
        <v>183</v>
      </c>
      <c r="B39" s="2" t="s">
        <v>184</v>
      </c>
      <c r="C39">
        <v>415489</v>
      </c>
      <c r="D39" s="2" t="s">
        <v>164</v>
      </c>
      <c r="E39" s="2" t="s">
        <v>165</v>
      </c>
      <c r="F39" s="2" t="s">
        <v>166</v>
      </c>
      <c r="G39" s="2" t="s">
        <v>19</v>
      </c>
      <c r="H39" s="2" t="s">
        <v>26</v>
      </c>
      <c r="I39" s="2" t="s">
        <v>32</v>
      </c>
      <c r="J39">
        <v>6</v>
      </c>
      <c r="K39" s="2" t="s">
        <v>174</v>
      </c>
      <c r="L39" s="2" t="s">
        <v>185</v>
      </c>
      <c r="M39" s="3">
        <v>46405</v>
      </c>
      <c r="N39">
        <v>0.77</v>
      </c>
    </row>
    <row r="40" spans="1:14">
      <c r="A40" t="s">
        <v>186</v>
      </c>
      <c r="B40" s="2" t="s">
        <v>187</v>
      </c>
      <c r="C40">
        <v>415489</v>
      </c>
      <c r="D40" s="2" t="s">
        <v>164</v>
      </c>
      <c r="E40" s="2" t="s">
        <v>165</v>
      </c>
      <c r="F40" s="2" t="s">
        <v>166</v>
      </c>
      <c r="G40" s="2" t="s">
        <v>19</v>
      </c>
      <c r="H40" s="2" t="s">
        <v>47</v>
      </c>
      <c r="I40" s="2" t="s">
        <v>21</v>
      </c>
      <c r="J40">
        <v>3</v>
      </c>
      <c r="K40" s="2" t="s">
        <v>188</v>
      </c>
      <c r="L40" s="2" t="s">
        <v>91</v>
      </c>
      <c r="M40" s="3">
        <v>46555</v>
      </c>
      <c r="N40">
        <v>0.79</v>
      </c>
    </row>
    <row r="41" spans="1:14">
      <c r="A41" t="s">
        <v>189</v>
      </c>
      <c r="B41" s="2" t="s">
        <v>190</v>
      </c>
      <c r="C41">
        <v>415489</v>
      </c>
      <c r="D41" s="2" t="s">
        <v>164</v>
      </c>
      <c r="E41" s="2" t="s">
        <v>165</v>
      </c>
      <c r="F41" s="2" t="s">
        <v>166</v>
      </c>
      <c r="G41" s="2" t="s">
        <v>19</v>
      </c>
      <c r="H41" s="2" t="s">
        <v>26</v>
      </c>
      <c r="I41" s="2" t="s">
        <v>32</v>
      </c>
      <c r="J41">
        <v>8</v>
      </c>
      <c r="K41" s="2" t="s">
        <v>191</v>
      </c>
      <c r="L41" s="2" t="s">
        <v>192</v>
      </c>
      <c r="M41" s="3">
        <v>46499</v>
      </c>
      <c r="N41">
        <v>0.84</v>
      </c>
    </row>
    <row r="42" spans="1:14">
      <c r="A42" t="s">
        <v>193</v>
      </c>
      <c r="B42" s="2" t="s">
        <v>194</v>
      </c>
      <c r="C42">
        <v>440495</v>
      </c>
      <c r="D42" s="2" t="s">
        <v>195</v>
      </c>
      <c r="E42" s="2" t="s">
        <v>196</v>
      </c>
      <c r="F42" s="2" t="s">
        <v>18</v>
      </c>
      <c r="G42" s="2" t="s">
        <v>19</v>
      </c>
      <c r="H42" s="2" t="s">
        <v>89</v>
      </c>
      <c r="I42" s="2" t="s">
        <v>21</v>
      </c>
      <c r="J42">
        <v>3</v>
      </c>
      <c r="K42" s="2" t="s">
        <v>127</v>
      </c>
      <c r="L42" s="2" t="s">
        <v>197</v>
      </c>
      <c r="M42" s="3">
        <v>46411</v>
      </c>
      <c r="N42">
        <v>0.8</v>
      </c>
    </row>
    <row r="43" spans="1:14">
      <c r="A43" t="s">
        <v>198</v>
      </c>
      <c r="B43" s="2" t="s">
        <v>199</v>
      </c>
      <c r="C43">
        <v>440495</v>
      </c>
      <c r="D43" s="2" t="s">
        <v>195</v>
      </c>
      <c r="E43" s="2" t="s">
        <v>196</v>
      </c>
      <c r="F43" s="2" t="s">
        <v>18</v>
      </c>
      <c r="G43" s="2" t="s">
        <v>19</v>
      </c>
      <c r="H43" s="2" t="s">
        <v>42</v>
      </c>
      <c r="I43" s="2" t="s">
        <v>21</v>
      </c>
      <c r="J43">
        <v>4</v>
      </c>
      <c r="K43" s="2" t="s">
        <v>200</v>
      </c>
      <c r="L43" s="2" t="s">
        <v>201</v>
      </c>
      <c r="M43" s="3">
        <v>46426</v>
      </c>
      <c r="N43">
        <v>0.97</v>
      </c>
    </row>
    <row r="44" spans="1:14">
      <c r="A44" t="s">
        <v>202</v>
      </c>
      <c r="B44" s="2" t="s">
        <v>203</v>
      </c>
      <c r="C44">
        <v>440495</v>
      </c>
      <c r="D44" s="2" t="s">
        <v>195</v>
      </c>
      <c r="E44" s="2" t="s">
        <v>196</v>
      </c>
      <c r="F44" s="2" t="s">
        <v>18</v>
      </c>
      <c r="G44" s="2" t="s">
        <v>19</v>
      </c>
      <c r="H44" s="2" t="s">
        <v>42</v>
      </c>
      <c r="I44" s="2" t="s">
        <v>21</v>
      </c>
      <c r="J44">
        <v>3</v>
      </c>
      <c r="K44" s="2" t="s">
        <v>204</v>
      </c>
      <c r="L44" s="2" t="s">
        <v>205</v>
      </c>
      <c r="M44" s="3">
        <v>46566</v>
      </c>
      <c r="N44">
        <v>0.79</v>
      </c>
    </row>
    <row r="45" spans="1:14">
      <c r="A45" t="s">
        <v>206</v>
      </c>
      <c r="B45" s="2" t="s">
        <v>207</v>
      </c>
      <c r="C45">
        <v>440495</v>
      </c>
      <c r="D45" s="2" t="s">
        <v>195</v>
      </c>
      <c r="E45" s="2" t="s">
        <v>196</v>
      </c>
      <c r="F45" s="2" t="s">
        <v>18</v>
      </c>
      <c r="G45" s="2" t="s">
        <v>19</v>
      </c>
      <c r="H45" s="2" t="s">
        <v>144</v>
      </c>
      <c r="I45" s="2" t="s">
        <v>21</v>
      </c>
      <c r="J45">
        <v>3</v>
      </c>
      <c r="K45" s="2" t="s">
        <v>208</v>
      </c>
      <c r="L45" s="2" t="s">
        <v>209</v>
      </c>
      <c r="M45" s="3">
        <v>46551</v>
      </c>
      <c r="N45">
        <v>0.75</v>
      </c>
    </row>
    <row r="46" spans="1:14">
      <c r="A46" t="s">
        <v>210</v>
      </c>
      <c r="B46" s="2" t="s">
        <v>211</v>
      </c>
      <c r="C46">
        <v>440495</v>
      </c>
      <c r="D46" s="2" t="s">
        <v>195</v>
      </c>
      <c r="E46" s="2" t="s">
        <v>196</v>
      </c>
      <c r="F46" s="2" t="s">
        <v>18</v>
      </c>
      <c r="G46" s="2" t="s">
        <v>19</v>
      </c>
      <c r="H46" s="2" t="s">
        <v>47</v>
      </c>
      <c r="I46" s="2" t="s">
        <v>21</v>
      </c>
      <c r="J46">
        <v>3</v>
      </c>
      <c r="K46" s="2" t="s">
        <v>212</v>
      </c>
      <c r="L46" s="2" t="s">
        <v>213</v>
      </c>
      <c r="M46" s="3">
        <v>46464</v>
      </c>
      <c r="N46">
        <v>0.74</v>
      </c>
    </row>
    <row r="47" spans="1:14">
      <c r="A47" t="s">
        <v>214</v>
      </c>
      <c r="B47" s="2" t="s">
        <v>187</v>
      </c>
      <c r="C47">
        <v>440495</v>
      </c>
      <c r="D47" s="2" t="s">
        <v>195</v>
      </c>
      <c r="E47" s="2" t="s">
        <v>196</v>
      </c>
      <c r="F47" s="2" t="s">
        <v>18</v>
      </c>
      <c r="G47" s="2" t="s">
        <v>19</v>
      </c>
      <c r="H47" s="2" t="s">
        <v>42</v>
      </c>
      <c r="I47" s="2" t="s">
        <v>21</v>
      </c>
      <c r="J47">
        <v>4</v>
      </c>
      <c r="K47" s="2" t="s">
        <v>215</v>
      </c>
      <c r="L47" s="2" t="s">
        <v>216</v>
      </c>
      <c r="M47" s="3">
        <v>46486</v>
      </c>
      <c r="N47">
        <v>0.87</v>
      </c>
    </row>
    <row r="48" spans="1:14">
      <c r="A48" t="s">
        <v>217</v>
      </c>
      <c r="B48" s="2" t="s">
        <v>218</v>
      </c>
      <c r="C48">
        <v>440495</v>
      </c>
      <c r="D48" s="2" t="s">
        <v>195</v>
      </c>
      <c r="E48" s="2" t="s">
        <v>196</v>
      </c>
      <c r="F48" s="2" t="s">
        <v>18</v>
      </c>
      <c r="G48" s="2" t="s">
        <v>19</v>
      </c>
      <c r="H48" s="2" t="s">
        <v>26</v>
      </c>
      <c r="I48" s="2" t="s">
        <v>32</v>
      </c>
      <c r="J48">
        <v>8</v>
      </c>
      <c r="K48" s="2" t="s">
        <v>219</v>
      </c>
      <c r="L48" s="2" t="s">
        <v>220</v>
      </c>
      <c r="M48" s="3">
        <v>46420</v>
      </c>
      <c r="N48">
        <v>0.83</v>
      </c>
    </row>
    <row r="49" spans="1:14">
      <c r="A49" t="s">
        <v>221</v>
      </c>
      <c r="B49" s="2" t="s">
        <v>222</v>
      </c>
      <c r="C49">
        <v>440495</v>
      </c>
      <c r="D49" s="2" t="s">
        <v>195</v>
      </c>
      <c r="E49" s="2" t="s">
        <v>196</v>
      </c>
      <c r="F49" s="2" t="s">
        <v>18</v>
      </c>
      <c r="G49" s="2" t="s">
        <v>19</v>
      </c>
      <c r="H49" s="2" t="s">
        <v>47</v>
      </c>
      <c r="I49" s="2" t="s">
        <v>32</v>
      </c>
      <c r="J49">
        <v>6</v>
      </c>
      <c r="K49" s="2" t="s">
        <v>223</v>
      </c>
      <c r="L49" s="2" t="s">
        <v>224</v>
      </c>
      <c r="M49" s="3">
        <v>46542</v>
      </c>
      <c r="N49">
        <v>0.96</v>
      </c>
    </row>
    <row r="50" spans="1:14">
      <c r="A50" t="s">
        <v>225</v>
      </c>
      <c r="B50" s="2" t="s">
        <v>226</v>
      </c>
      <c r="C50">
        <v>570077</v>
      </c>
      <c r="D50" s="2" t="s">
        <v>227</v>
      </c>
      <c r="E50" s="2" t="s">
        <v>228</v>
      </c>
      <c r="F50" s="2" t="s">
        <v>18</v>
      </c>
      <c r="G50" s="2" t="s">
        <v>19</v>
      </c>
      <c r="H50" s="2" t="s">
        <v>63</v>
      </c>
      <c r="I50" s="2" t="s">
        <v>32</v>
      </c>
      <c r="J50">
        <v>5</v>
      </c>
      <c r="K50" s="2" t="s">
        <v>123</v>
      </c>
      <c r="L50" s="2" t="s">
        <v>229</v>
      </c>
      <c r="M50" s="3">
        <v>46563</v>
      </c>
      <c r="N50">
        <v>0.75</v>
      </c>
    </row>
    <row r="51" spans="1:14">
      <c r="A51" t="s">
        <v>230</v>
      </c>
      <c r="B51" s="2" t="s">
        <v>231</v>
      </c>
      <c r="C51">
        <v>570077</v>
      </c>
      <c r="D51" s="2" t="s">
        <v>227</v>
      </c>
      <c r="E51" s="2" t="s">
        <v>228</v>
      </c>
      <c r="F51" s="2" t="s">
        <v>18</v>
      </c>
      <c r="G51" s="2" t="s">
        <v>19</v>
      </c>
      <c r="H51" s="2" t="s">
        <v>144</v>
      </c>
      <c r="I51" s="2" t="s">
        <v>32</v>
      </c>
      <c r="J51">
        <v>5</v>
      </c>
      <c r="K51" s="2" t="s">
        <v>27</v>
      </c>
      <c r="L51" s="2" t="s">
        <v>232</v>
      </c>
      <c r="M51" s="3">
        <v>46457</v>
      </c>
      <c r="N51">
        <v>0.89</v>
      </c>
    </row>
    <row r="52" spans="1:14">
      <c r="A52" t="s">
        <v>233</v>
      </c>
      <c r="B52" s="2" t="s">
        <v>234</v>
      </c>
      <c r="C52">
        <v>570077</v>
      </c>
      <c r="D52" s="2" t="s">
        <v>227</v>
      </c>
      <c r="E52" s="2" t="s">
        <v>228</v>
      </c>
      <c r="F52" s="2" t="s">
        <v>18</v>
      </c>
      <c r="G52" s="2" t="s">
        <v>19</v>
      </c>
      <c r="H52" s="2" t="s">
        <v>42</v>
      </c>
      <c r="I52" s="2" t="s">
        <v>32</v>
      </c>
      <c r="J52">
        <v>5</v>
      </c>
      <c r="K52" s="2" t="s">
        <v>235</v>
      </c>
      <c r="L52" s="2" t="s">
        <v>236</v>
      </c>
      <c r="M52" s="3">
        <v>46440</v>
      </c>
      <c r="N52">
        <v>0.83</v>
      </c>
    </row>
    <row r="53" spans="1:14">
      <c r="A53" t="s">
        <v>237</v>
      </c>
      <c r="B53" s="2" t="s">
        <v>238</v>
      </c>
      <c r="C53">
        <v>570077</v>
      </c>
      <c r="D53" s="2" t="s">
        <v>227</v>
      </c>
      <c r="E53" s="2" t="s">
        <v>228</v>
      </c>
      <c r="F53" s="2" t="s">
        <v>18</v>
      </c>
      <c r="G53" s="2" t="s">
        <v>19</v>
      </c>
      <c r="H53" s="2" t="s">
        <v>42</v>
      </c>
      <c r="I53" s="2" t="s">
        <v>32</v>
      </c>
      <c r="J53">
        <v>6</v>
      </c>
      <c r="K53" s="2" t="s">
        <v>239</v>
      </c>
      <c r="L53" s="2" t="s">
        <v>240</v>
      </c>
      <c r="M53" s="3">
        <v>46428</v>
      </c>
      <c r="N53">
        <v>0.92</v>
      </c>
    </row>
    <row r="54" spans="1:14">
      <c r="A54" t="s">
        <v>241</v>
      </c>
      <c r="B54" s="2" t="s">
        <v>242</v>
      </c>
      <c r="C54">
        <v>570077</v>
      </c>
      <c r="D54" s="2" t="s">
        <v>227</v>
      </c>
      <c r="E54" s="2" t="s">
        <v>228</v>
      </c>
      <c r="F54" s="2" t="s">
        <v>18</v>
      </c>
      <c r="G54" s="2" t="s">
        <v>19</v>
      </c>
      <c r="H54" s="2" t="s">
        <v>37</v>
      </c>
      <c r="I54" s="2" t="s">
        <v>32</v>
      </c>
      <c r="J54">
        <v>6</v>
      </c>
      <c r="K54" s="2" t="s">
        <v>243</v>
      </c>
      <c r="L54" s="2" t="s">
        <v>244</v>
      </c>
      <c r="M54" s="3">
        <v>46512</v>
      </c>
      <c r="N54">
        <v>0.96</v>
      </c>
    </row>
    <row r="55" spans="1:14">
      <c r="A55" t="s">
        <v>245</v>
      </c>
      <c r="B55" s="2" t="s">
        <v>246</v>
      </c>
      <c r="C55">
        <v>570077</v>
      </c>
      <c r="D55" s="2" t="s">
        <v>227</v>
      </c>
      <c r="E55" s="2" t="s">
        <v>228</v>
      </c>
      <c r="F55" s="2" t="s">
        <v>18</v>
      </c>
      <c r="G55" s="2" t="s">
        <v>19</v>
      </c>
      <c r="H55" s="2" t="s">
        <v>20</v>
      </c>
      <c r="I55" s="2" t="s">
        <v>21</v>
      </c>
      <c r="J55">
        <v>4</v>
      </c>
      <c r="K55" s="2" t="s">
        <v>247</v>
      </c>
      <c r="L55" s="2" t="s">
        <v>248</v>
      </c>
      <c r="M55" s="3">
        <v>46393</v>
      </c>
      <c r="N55">
        <v>0.81</v>
      </c>
    </row>
    <row r="56" spans="1:14">
      <c r="A56" t="s">
        <v>249</v>
      </c>
      <c r="B56" s="2" t="s">
        <v>250</v>
      </c>
      <c r="C56">
        <v>570077</v>
      </c>
      <c r="D56" s="2" t="s">
        <v>227</v>
      </c>
      <c r="E56" s="2" t="s">
        <v>228</v>
      </c>
      <c r="F56" s="2" t="s">
        <v>18</v>
      </c>
      <c r="G56" s="2" t="s">
        <v>19</v>
      </c>
      <c r="H56" s="2" t="s">
        <v>144</v>
      </c>
      <c r="I56" s="2" t="s">
        <v>56</v>
      </c>
      <c r="J56">
        <v>10</v>
      </c>
      <c r="K56" s="2" t="s">
        <v>251</v>
      </c>
      <c r="L56" s="2" t="s">
        <v>252</v>
      </c>
      <c r="M56" s="3">
        <v>46396</v>
      </c>
      <c r="N56">
        <v>0.74</v>
      </c>
    </row>
    <row r="57" spans="1:14">
      <c r="A57" t="s">
        <v>253</v>
      </c>
      <c r="B57" s="2" t="s">
        <v>254</v>
      </c>
      <c r="C57">
        <v>570077</v>
      </c>
      <c r="D57" s="2" t="s">
        <v>227</v>
      </c>
      <c r="E57" s="2" t="s">
        <v>228</v>
      </c>
      <c r="F57" s="2" t="s">
        <v>18</v>
      </c>
      <c r="G57" s="2" t="s">
        <v>19</v>
      </c>
      <c r="H57" s="2" t="s">
        <v>144</v>
      </c>
      <c r="I57" s="2" t="s">
        <v>32</v>
      </c>
      <c r="J57">
        <v>6</v>
      </c>
      <c r="K57" s="2" t="s">
        <v>255</v>
      </c>
      <c r="L57" s="2" t="s">
        <v>256</v>
      </c>
      <c r="M57" s="3">
        <v>46484</v>
      </c>
      <c r="N57">
        <v>0.8</v>
      </c>
    </row>
    <row r="58" spans="1:14">
      <c r="A58" t="s">
        <v>257</v>
      </c>
      <c r="B58" s="2" t="s">
        <v>258</v>
      </c>
      <c r="C58">
        <v>225888</v>
      </c>
      <c r="D58" s="2" t="s">
        <v>259</v>
      </c>
      <c r="E58" s="2" t="s">
        <v>260</v>
      </c>
      <c r="F58" s="2" t="s">
        <v>166</v>
      </c>
      <c r="G58" s="2" t="s">
        <v>19</v>
      </c>
      <c r="H58" s="2" t="s">
        <v>42</v>
      </c>
      <c r="I58" s="2" t="s">
        <v>261</v>
      </c>
      <c r="J58">
        <v>30</v>
      </c>
      <c r="K58" s="2" t="s">
        <v>262</v>
      </c>
      <c r="L58" s="2" t="s">
        <v>263</v>
      </c>
      <c r="M58" s="3">
        <v>46396</v>
      </c>
      <c r="N58">
        <v>0.77</v>
      </c>
    </row>
    <row r="59" spans="1:14">
      <c r="A59" t="s">
        <v>264</v>
      </c>
      <c r="B59" s="2" t="s">
        <v>265</v>
      </c>
      <c r="C59">
        <v>225888</v>
      </c>
      <c r="D59" s="2" t="s">
        <v>259</v>
      </c>
      <c r="E59" s="2" t="s">
        <v>260</v>
      </c>
      <c r="F59" s="2" t="s">
        <v>166</v>
      </c>
      <c r="G59" s="2" t="s">
        <v>19</v>
      </c>
      <c r="H59" s="2" t="s">
        <v>89</v>
      </c>
      <c r="I59" s="2" t="s">
        <v>261</v>
      </c>
      <c r="J59">
        <v>25</v>
      </c>
      <c r="K59" s="2" t="s">
        <v>266</v>
      </c>
      <c r="L59" s="2" t="s">
        <v>267</v>
      </c>
      <c r="M59" s="3">
        <v>46563</v>
      </c>
      <c r="N59">
        <v>0.87</v>
      </c>
    </row>
    <row r="60" spans="1:14">
      <c r="A60" t="s">
        <v>268</v>
      </c>
      <c r="B60" s="2" t="s">
        <v>190</v>
      </c>
      <c r="C60">
        <v>225888</v>
      </c>
      <c r="D60" s="2" t="s">
        <v>259</v>
      </c>
      <c r="E60" s="2" t="s">
        <v>260</v>
      </c>
      <c r="F60" s="2" t="s">
        <v>166</v>
      </c>
      <c r="G60" s="2" t="s">
        <v>19</v>
      </c>
      <c r="H60" s="2" t="s">
        <v>26</v>
      </c>
      <c r="I60" s="2" t="s">
        <v>261</v>
      </c>
      <c r="J60">
        <v>20</v>
      </c>
      <c r="K60" s="2" t="s">
        <v>269</v>
      </c>
      <c r="L60" s="2" t="s">
        <v>270</v>
      </c>
      <c r="M60" s="3">
        <v>46419</v>
      </c>
      <c r="N60">
        <v>0.93</v>
      </c>
    </row>
    <row r="61" spans="1:14">
      <c r="A61" t="s">
        <v>271</v>
      </c>
      <c r="B61" s="2" t="s">
        <v>272</v>
      </c>
      <c r="C61">
        <v>225888</v>
      </c>
      <c r="D61" s="2" t="s">
        <v>259</v>
      </c>
      <c r="E61" s="2" t="s">
        <v>260</v>
      </c>
      <c r="F61" s="2" t="s">
        <v>166</v>
      </c>
      <c r="G61" s="2" t="s">
        <v>19</v>
      </c>
      <c r="H61" s="2" t="s">
        <v>63</v>
      </c>
      <c r="I61" s="2" t="s">
        <v>261</v>
      </c>
      <c r="J61">
        <v>30</v>
      </c>
      <c r="K61" s="2" t="s">
        <v>273</v>
      </c>
      <c r="L61" s="2" t="s">
        <v>274</v>
      </c>
      <c r="M61" s="3">
        <v>46426</v>
      </c>
      <c r="N61">
        <v>0.83</v>
      </c>
    </row>
    <row r="62" spans="1:14">
      <c r="A62" t="s">
        <v>275</v>
      </c>
      <c r="B62" s="2" t="s">
        <v>276</v>
      </c>
      <c r="C62">
        <v>225888</v>
      </c>
      <c r="D62" s="2" t="s">
        <v>259</v>
      </c>
      <c r="E62" s="2" t="s">
        <v>260</v>
      </c>
      <c r="F62" s="2" t="s">
        <v>166</v>
      </c>
      <c r="G62" s="2" t="s">
        <v>19</v>
      </c>
      <c r="H62" s="2" t="s">
        <v>84</v>
      </c>
      <c r="I62" s="2" t="s">
        <v>261</v>
      </c>
      <c r="J62">
        <v>30</v>
      </c>
      <c r="K62" s="2" t="s">
        <v>277</v>
      </c>
      <c r="L62" s="2" t="s">
        <v>278</v>
      </c>
      <c r="M62" s="3">
        <v>46394</v>
      </c>
      <c r="N62">
        <v>0.75</v>
      </c>
    </row>
    <row r="63" spans="1:14">
      <c r="A63" t="s">
        <v>279</v>
      </c>
      <c r="B63" s="2" t="s">
        <v>280</v>
      </c>
      <c r="C63">
        <v>225888</v>
      </c>
      <c r="D63" s="2" t="s">
        <v>259</v>
      </c>
      <c r="E63" s="2" t="s">
        <v>260</v>
      </c>
      <c r="F63" s="2" t="s">
        <v>166</v>
      </c>
      <c r="G63" s="2" t="s">
        <v>19</v>
      </c>
      <c r="H63" s="2" t="s">
        <v>63</v>
      </c>
      <c r="I63" s="2" t="s">
        <v>261</v>
      </c>
      <c r="J63">
        <v>20</v>
      </c>
      <c r="K63" s="2" t="s">
        <v>281</v>
      </c>
      <c r="L63" s="2" t="s">
        <v>282</v>
      </c>
      <c r="M63" s="3">
        <v>46456</v>
      </c>
      <c r="N63">
        <v>0.79</v>
      </c>
    </row>
    <row r="64" spans="1:14">
      <c r="A64" t="s">
        <v>283</v>
      </c>
      <c r="B64" s="2" t="s">
        <v>284</v>
      </c>
      <c r="C64">
        <v>225888</v>
      </c>
      <c r="D64" s="2" t="s">
        <v>259</v>
      </c>
      <c r="E64" s="2" t="s">
        <v>260</v>
      </c>
      <c r="F64" s="2" t="s">
        <v>166</v>
      </c>
      <c r="G64" s="2" t="s">
        <v>19</v>
      </c>
      <c r="H64" s="2" t="s">
        <v>144</v>
      </c>
      <c r="I64" s="2" t="s">
        <v>261</v>
      </c>
      <c r="J64">
        <v>25</v>
      </c>
      <c r="K64" s="2" t="s">
        <v>285</v>
      </c>
      <c r="L64" s="2" t="s">
        <v>286</v>
      </c>
      <c r="M64" s="3">
        <v>46428</v>
      </c>
      <c r="N64">
        <v>0.95</v>
      </c>
    </row>
    <row r="65" spans="1:14">
      <c r="A65" t="s">
        <v>287</v>
      </c>
      <c r="B65" s="2" t="s">
        <v>288</v>
      </c>
      <c r="C65">
        <v>225888</v>
      </c>
      <c r="D65" s="2" t="s">
        <v>259</v>
      </c>
      <c r="E65" s="2" t="s">
        <v>260</v>
      </c>
      <c r="F65" s="2" t="s">
        <v>166</v>
      </c>
      <c r="G65" s="2" t="s">
        <v>19</v>
      </c>
      <c r="H65" s="2" t="s">
        <v>42</v>
      </c>
      <c r="I65" s="2" t="s">
        <v>261</v>
      </c>
      <c r="J65">
        <v>20</v>
      </c>
      <c r="K65" s="2" t="s">
        <v>289</v>
      </c>
      <c r="L65" s="2" t="s">
        <v>290</v>
      </c>
      <c r="M65" s="3">
        <v>46388</v>
      </c>
      <c r="N65">
        <v>0.84</v>
      </c>
    </row>
    <row r="66" spans="1:14">
      <c r="A66" t="s">
        <v>291</v>
      </c>
      <c r="B66" s="2" t="s">
        <v>292</v>
      </c>
      <c r="C66">
        <v>420265</v>
      </c>
      <c r="D66" s="2" t="s">
        <v>293</v>
      </c>
      <c r="E66" s="2" t="s">
        <v>294</v>
      </c>
      <c r="F66" s="2" t="s">
        <v>295</v>
      </c>
      <c r="G66" s="2" t="s">
        <v>19</v>
      </c>
      <c r="H66" s="2" t="s">
        <v>20</v>
      </c>
      <c r="I66" s="2" t="s">
        <v>261</v>
      </c>
      <c r="J66">
        <v>25</v>
      </c>
      <c r="K66" s="2" t="s">
        <v>296</v>
      </c>
      <c r="L66" s="2" t="s">
        <v>39</v>
      </c>
      <c r="M66" s="3">
        <v>46463</v>
      </c>
      <c r="N66">
        <v>0.95</v>
      </c>
    </row>
    <row r="67" spans="1:14">
      <c r="A67" t="s">
        <v>297</v>
      </c>
      <c r="B67" s="2" t="s">
        <v>110</v>
      </c>
      <c r="C67">
        <v>420265</v>
      </c>
      <c r="D67" s="2" t="s">
        <v>293</v>
      </c>
      <c r="E67" s="2" t="s">
        <v>294</v>
      </c>
      <c r="F67" s="2" t="s">
        <v>295</v>
      </c>
      <c r="G67" s="2" t="s">
        <v>19</v>
      </c>
      <c r="H67" s="2" t="s">
        <v>20</v>
      </c>
      <c r="I67" s="2" t="s">
        <v>261</v>
      </c>
      <c r="J67">
        <v>25</v>
      </c>
      <c r="K67" s="2" t="s">
        <v>298</v>
      </c>
      <c r="L67" s="2" t="s">
        <v>158</v>
      </c>
      <c r="M67" s="3">
        <v>46451</v>
      </c>
      <c r="N67">
        <v>0.73</v>
      </c>
    </row>
    <row r="68" spans="1:14">
      <c r="A68" t="s">
        <v>299</v>
      </c>
      <c r="B68" s="2" t="s">
        <v>300</v>
      </c>
      <c r="C68">
        <v>420265</v>
      </c>
      <c r="D68" s="2" t="s">
        <v>293</v>
      </c>
      <c r="E68" s="2" t="s">
        <v>294</v>
      </c>
      <c r="F68" s="2" t="s">
        <v>295</v>
      </c>
      <c r="G68" s="2" t="s">
        <v>19</v>
      </c>
      <c r="H68" s="2" t="s">
        <v>63</v>
      </c>
      <c r="I68" s="2" t="s">
        <v>261</v>
      </c>
      <c r="J68">
        <v>30</v>
      </c>
      <c r="K68" s="2" t="s">
        <v>301</v>
      </c>
      <c r="L68" s="2" t="s">
        <v>302</v>
      </c>
      <c r="M68" s="3">
        <v>46394</v>
      </c>
      <c r="N68">
        <v>0.73</v>
      </c>
    </row>
    <row r="69" spans="1:14">
      <c r="A69" t="s">
        <v>303</v>
      </c>
      <c r="B69" s="2" t="s">
        <v>304</v>
      </c>
      <c r="C69">
        <v>420265</v>
      </c>
      <c r="D69" s="2" t="s">
        <v>293</v>
      </c>
      <c r="E69" s="2" t="s">
        <v>294</v>
      </c>
      <c r="F69" s="2" t="s">
        <v>295</v>
      </c>
      <c r="G69" s="2" t="s">
        <v>19</v>
      </c>
      <c r="H69" s="2" t="s">
        <v>26</v>
      </c>
      <c r="I69" s="2" t="s">
        <v>261</v>
      </c>
      <c r="J69">
        <v>25</v>
      </c>
      <c r="K69" s="2" t="s">
        <v>305</v>
      </c>
      <c r="L69" s="2" t="s">
        <v>306</v>
      </c>
      <c r="M69" s="3">
        <v>46547</v>
      </c>
      <c r="N69">
        <v>0.83</v>
      </c>
    </row>
    <row r="70" spans="1:14">
      <c r="A70" t="s">
        <v>307</v>
      </c>
      <c r="B70" s="2" t="s">
        <v>308</v>
      </c>
      <c r="C70">
        <v>420265</v>
      </c>
      <c r="D70" s="2" t="s">
        <v>293</v>
      </c>
      <c r="E70" s="2" t="s">
        <v>294</v>
      </c>
      <c r="F70" s="2" t="s">
        <v>295</v>
      </c>
      <c r="G70" s="2" t="s">
        <v>19</v>
      </c>
      <c r="H70" s="2" t="s">
        <v>42</v>
      </c>
      <c r="I70" s="2" t="s">
        <v>261</v>
      </c>
      <c r="J70">
        <v>25</v>
      </c>
      <c r="K70" s="2" t="s">
        <v>309</v>
      </c>
      <c r="L70" s="2" t="s">
        <v>236</v>
      </c>
      <c r="M70" s="3">
        <v>46545</v>
      </c>
      <c r="N70">
        <v>0.82</v>
      </c>
    </row>
    <row r="71" spans="1:14">
      <c r="A71" t="s">
        <v>310</v>
      </c>
      <c r="B71" s="2" t="s">
        <v>180</v>
      </c>
      <c r="C71">
        <v>420265</v>
      </c>
      <c r="D71" s="2" t="s">
        <v>293</v>
      </c>
      <c r="E71" s="2" t="s">
        <v>294</v>
      </c>
      <c r="F71" s="2" t="s">
        <v>295</v>
      </c>
      <c r="G71" s="2" t="s">
        <v>19</v>
      </c>
      <c r="H71" s="2" t="s">
        <v>42</v>
      </c>
      <c r="I71" s="2" t="s">
        <v>261</v>
      </c>
      <c r="J71">
        <v>20</v>
      </c>
      <c r="K71" s="2" t="s">
        <v>119</v>
      </c>
      <c r="L71" s="2" t="s">
        <v>311</v>
      </c>
      <c r="M71" s="3">
        <v>46461</v>
      </c>
      <c r="N71">
        <v>0.92</v>
      </c>
    </row>
    <row r="72" spans="1:14">
      <c r="A72" t="s">
        <v>312</v>
      </c>
      <c r="B72" s="2" t="s">
        <v>207</v>
      </c>
      <c r="C72">
        <v>420265</v>
      </c>
      <c r="D72" s="2" t="s">
        <v>293</v>
      </c>
      <c r="E72" s="2" t="s">
        <v>294</v>
      </c>
      <c r="F72" s="2" t="s">
        <v>295</v>
      </c>
      <c r="G72" s="2" t="s">
        <v>19</v>
      </c>
      <c r="H72" s="2" t="s">
        <v>84</v>
      </c>
      <c r="I72" s="2" t="s">
        <v>261</v>
      </c>
      <c r="J72">
        <v>20</v>
      </c>
      <c r="K72" s="2" t="s">
        <v>119</v>
      </c>
      <c r="L72" s="2" t="s">
        <v>313</v>
      </c>
      <c r="M72" s="3">
        <v>46430</v>
      </c>
      <c r="N72">
        <v>0.79</v>
      </c>
    </row>
    <row r="73" spans="1:14">
      <c r="A73" t="s">
        <v>314</v>
      </c>
      <c r="B73" s="2" t="s">
        <v>315</v>
      </c>
      <c r="C73">
        <v>420265</v>
      </c>
      <c r="D73" s="2" t="s">
        <v>293</v>
      </c>
      <c r="E73" s="2" t="s">
        <v>294</v>
      </c>
      <c r="F73" s="2" t="s">
        <v>295</v>
      </c>
      <c r="G73" s="2" t="s">
        <v>19</v>
      </c>
      <c r="H73" s="2" t="s">
        <v>42</v>
      </c>
      <c r="I73" s="2" t="s">
        <v>261</v>
      </c>
      <c r="J73">
        <v>20</v>
      </c>
      <c r="K73" s="2" t="s">
        <v>316</v>
      </c>
      <c r="L73" s="2" t="s">
        <v>317</v>
      </c>
      <c r="M73" s="3">
        <v>46407</v>
      </c>
      <c r="N73">
        <v>0.96</v>
      </c>
    </row>
    <row r="74" spans="1:14">
      <c r="A74" t="s">
        <v>318</v>
      </c>
      <c r="B74" s="2" t="s">
        <v>319</v>
      </c>
      <c r="C74">
        <v>520288</v>
      </c>
      <c r="D74" s="2" t="s">
        <v>320</v>
      </c>
      <c r="E74" s="2" t="s">
        <v>228</v>
      </c>
      <c r="F74" s="2" t="s">
        <v>18</v>
      </c>
      <c r="G74" s="2" t="s">
        <v>19</v>
      </c>
      <c r="H74" s="2" t="s">
        <v>37</v>
      </c>
      <c r="I74" s="2" t="s">
        <v>261</v>
      </c>
      <c r="J74">
        <v>30</v>
      </c>
      <c r="K74" s="2" t="s">
        <v>321</v>
      </c>
      <c r="L74" s="2" t="s">
        <v>322</v>
      </c>
      <c r="M74" s="3">
        <v>46514</v>
      </c>
      <c r="N74">
        <v>0.73</v>
      </c>
    </row>
    <row r="75" spans="1:14">
      <c r="A75" t="s">
        <v>323</v>
      </c>
      <c r="B75" s="2" t="s">
        <v>324</v>
      </c>
      <c r="C75">
        <v>520288</v>
      </c>
      <c r="D75" s="2" t="s">
        <v>320</v>
      </c>
      <c r="E75" s="2" t="s">
        <v>228</v>
      </c>
      <c r="F75" s="2" t="s">
        <v>18</v>
      </c>
      <c r="G75" s="2" t="s">
        <v>19</v>
      </c>
      <c r="H75" s="2" t="s">
        <v>26</v>
      </c>
      <c r="I75" s="2" t="s">
        <v>261</v>
      </c>
      <c r="J75">
        <v>25</v>
      </c>
      <c r="K75" s="2" t="s">
        <v>325</v>
      </c>
      <c r="L75" s="2" t="s">
        <v>326</v>
      </c>
      <c r="M75" s="3">
        <v>46450</v>
      </c>
      <c r="N75">
        <v>0.82</v>
      </c>
    </row>
    <row r="76" spans="1:14">
      <c r="A76" t="s">
        <v>327</v>
      </c>
      <c r="B76" s="2" t="s">
        <v>276</v>
      </c>
      <c r="C76">
        <v>520288</v>
      </c>
      <c r="D76" s="2" t="s">
        <v>320</v>
      </c>
      <c r="E76" s="2" t="s">
        <v>228</v>
      </c>
      <c r="F76" s="2" t="s">
        <v>18</v>
      </c>
      <c r="G76" s="2" t="s">
        <v>19</v>
      </c>
      <c r="H76" s="2" t="s">
        <v>144</v>
      </c>
      <c r="I76" s="2" t="s">
        <v>261</v>
      </c>
      <c r="J76">
        <v>30</v>
      </c>
      <c r="K76" s="2" t="s">
        <v>328</v>
      </c>
      <c r="L76" s="2" t="s">
        <v>329</v>
      </c>
      <c r="M76" s="3">
        <v>46483</v>
      </c>
      <c r="N76">
        <v>0.73</v>
      </c>
    </row>
    <row r="77" spans="1:14">
      <c r="A77" t="s">
        <v>330</v>
      </c>
      <c r="B77" s="2" t="s">
        <v>331</v>
      </c>
      <c r="C77">
        <v>520288</v>
      </c>
      <c r="D77" s="2" t="s">
        <v>320</v>
      </c>
      <c r="E77" s="2" t="s">
        <v>228</v>
      </c>
      <c r="F77" s="2" t="s">
        <v>18</v>
      </c>
      <c r="G77" s="2" t="s">
        <v>19</v>
      </c>
      <c r="H77" s="2" t="s">
        <v>47</v>
      </c>
      <c r="I77" s="2" t="s">
        <v>261</v>
      </c>
      <c r="J77">
        <v>20</v>
      </c>
      <c r="K77" s="2" t="s">
        <v>332</v>
      </c>
      <c r="L77" s="2" t="s">
        <v>91</v>
      </c>
      <c r="M77" s="3">
        <v>46460</v>
      </c>
      <c r="N77">
        <v>0.81</v>
      </c>
    </row>
    <row r="78" spans="1:14">
      <c r="A78" t="s">
        <v>333</v>
      </c>
      <c r="B78" s="2" t="s">
        <v>334</v>
      </c>
      <c r="C78">
        <v>520288</v>
      </c>
      <c r="D78" s="2" t="s">
        <v>320</v>
      </c>
      <c r="E78" s="2" t="s">
        <v>228</v>
      </c>
      <c r="F78" s="2" t="s">
        <v>18</v>
      </c>
      <c r="G78" s="2" t="s">
        <v>19</v>
      </c>
      <c r="H78" s="2" t="s">
        <v>20</v>
      </c>
      <c r="I78" s="2" t="s">
        <v>261</v>
      </c>
      <c r="J78">
        <v>30</v>
      </c>
      <c r="K78" s="2" t="s">
        <v>335</v>
      </c>
      <c r="L78" s="2" t="s">
        <v>336</v>
      </c>
      <c r="M78" s="3">
        <v>46389</v>
      </c>
      <c r="N78">
        <v>0.92</v>
      </c>
    </row>
    <row r="79" spans="1:14">
      <c r="A79" t="s">
        <v>337</v>
      </c>
      <c r="B79" s="2" t="s">
        <v>338</v>
      </c>
      <c r="C79">
        <v>520288</v>
      </c>
      <c r="D79" s="2" t="s">
        <v>320</v>
      </c>
      <c r="E79" s="2" t="s">
        <v>228</v>
      </c>
      <c r="F79" s="2" t="s">
        <v>18</v>
      </c>
      <c r="G79" s="2" t="s">
        <v>19</v>
      </c>
      <c r="H79" s="2" t="s">
        <v>20</v>
      </c>
      <c r="I79" s="2" t="s">
        <v>261</v>
      </c>
      <c r="J79">
        <v>20</v>
      </c>
      <c r="K79" s="2" t="s">
        <v>339</v>
      </c>
      <c r="L79" s="2" t="s">
        <v>137</v>
      </c>
      <c r="M79" s="3">
        <v>46472</v>
      </c>
      <c r="N79">
        <v>0.96</v>
      </c>
    </row>
    <row r="80" spans="1:14">
      <c r="A80" t="s">
        <v>340</v>
      </c>
      <c r="B80" s="2" t="s">
        <v>341</v>
      </c>
      <c r="C80">
        <v>520288</v>
      </c>
      <c r="D80" s="2" t="s">
        <v>320</v>
      </c>
      <c r="E80" s="2" t="s">
        <v>228</v>
      </c>
      <c r="F80" s="2" t="s">
        <v>18</v>
      </c>
      <c r="G80" s="2" t="s">
        <v>19</v>
      </c>
      <c r="H80" s="2" t="s">
        <v>63</v>
      </c>
      <c r="I80" s="2" t="s">
        <v>261</v>
      </c>
      <c r="J80">
        <v>30</v>
      </c>
      <c r="K80" s="2" t="s">
        <v>342</v>
      </c>
      <c r="L80" s="2" t="s">
        <v>256</v>
      </c>
      <c r="M80" s="3">
        <v>46473</v>
      </c>
      <c r="N80">
        <v>0.84</v>
      </c>
    </row>
    <row r="81" spans="1:14">
      <c r="A81" t="s">
        <v>343</v>
      </c>
      <c r="B81" s="2" t="s">
        <v>344</v>
      </c>
      <c r="C81">
        <v>520288</v>
      </c>
      <c r="D81" s="2" t="s">
        <v>320</v>
      </c>
      <c r="E81" s="2" t="s">
        <v>228</v>
      </c>
      <c r="F81" s="2" t="s">
        <v>18</v>
      </c>
      <c r="G81" s="2" t="s">
        <v>19</v>
      </c>
      <c r="H81" s="2" t="s">
        <v>63</v>
      </c>
      <c r="I81" s="2" t="s">
        <v>261</v>
      </c>
      <c r="J81">
        <v>25</v>
      </c>
      <c r="K81" s="2" t="s">
        <v>345</v>
      </c>
      <c r="L81" s="2" t="s">
        <v>346</v>
      </c>
      <c r="M81" s="3">
        <v>46431</v>
      </c>
      <c r="N81">
        <v>0.76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25"/>
  <cols>
    <col min="1" max="1" width="22" customWidth="1"/>
    <col min="2" max="2" width="16" customWidth="1"/>
    <col min="3" max="3" width="18" customWidth="1"/>
    <col min="4" max="4" width="30" customWidth="1"/>
    <col min="5" max="5" width="16" customWidth="1"/>
    <col min="6" max="6" width="33" customWidth="1"/>
    <col min="7" max="7" width="32" customWidth="1"/>
    <col min="8" max="8" width="29" customWidth="1"/>
    <col min="9" max="9" width="28" customWidth="1"/>
    <col min="10" max="10" width="26" customWidth="1"/>
  </cols>
  <sheetData>
    <row r="1" spans="1:10">
      <c r="A1" s="4" t="s">
        <v>2</v>
      </c>
      <c r="B1" s="4" t="s">
        <v>3</v>
      </c>
      <c r="C1" s="4" t="s">
        <v>4</v>
      </c>
      <c r="D1" s="4" t="s">
        <v>347</v>
      </c>
      <c r="E1" s="4" t="s">
        <v>5</v>
      </c>
      <c r="F1" s="4" t="s">
        <v>348</v>
      </c>
      <c r="G1" s="4" t="s">
        <v>349</v>
      </c>
      <c r="H1" s="4" t="s">
        <v>350</v>
      </c>
      <c r="I1" s="4" t="s">
        <v>351</v>
      </c>
      <c r="J1" s="4" t="s">
        <v>352</v>
      </c>
    </row>
    <row r="2" spans="1:10">
      <c r="A2">
        <v>144329</v>
      </c>
      <c r="B2" s="2" t="s">
        <v>16</v>
      </c>
      <c r="C2" s="2" t="s">
        <v>17</v>
      </c>
      <c r="D2" s="2" t="s">
        <v>353</v>
      </c>
      <c r="E2" s="2" t="s">
        <v>18</v>
      </c>
      <c r="F2">
        <v>138</v>
      </c>
      <c r="G2">
        <v>13</v>
      </c>
      <c r="H2">
        <v>45</v>
      </c>
      <c r="I2">
        <v>5.7955E-2</v>
      </c>
      <c r="J2">
        <v>9</v>
      </c>
    </row>
    <row r="3" spans="1:10">
      <c r="A3">
        <v>260232</v>
      </c>
      <c r="B3" s="2" t="s">
        <v>61</v>
      </c>
      <c r="C3" s="2" t="s">
        <v>62</v>
      </c>
      <c r="D3" s="2" t="s">
        <v>353</v>
      </c>
      <c r="E3" s="2" t="s">
        <v>18</v>
      </c>
      <c r="F3">
        <v>114</v>
      </c>
      <c r="G3">
        <v>14</v>
      </c>
      <c r="H3">
        <v>34</v>
      </c>
      <c r="I3">
        <v>4.2826000000000003E-2</v>
      </c>
      <c r="J3">
        <v>7</v>
      </c>
    </row>
    <row r="4" spans="1:10">
      <c r="A4">
        <v>270140</v>
      </c>
      <c r="B4" s="2" t="s">
        <v>98</v>
      </c>
      <c r="C4" s="2" t="s">
        <v>99</v>
      </c>
      <c r="D4" s="2" t="s">
        <v>353</v>
      </c>
      <c r="E4" s="2" t="s">
        <v>18</v>
      </c>
      <c r="F4">
        <v>122</v>
      </c>
      <c r="G4">
        <v>12</v>
      </c>
      <c r="H4">
        <v>41</v>
      </c>
      <c r="I4">
        <v>3.2031999999999998E-2</v>
      </c>
      <c r="J4">
        <v>7</v>
      </c>
    </row>
    <row r="5" spans="1:10">
      <c r="A5">
        <v>340190</v>
      </c>
      <c r="B5" s="2" t="s">
        <v>131</v>
      </c>
      <c r="C5" s="2" t="s">
        <v>132</v>
      </c>
      <c r="D5" s="2" t="s">
        <v>353</v>
      </c>
      <c r="E5" s="2" t="s">
        <v>18</v>
      </c>
      <c r="F5">
        <v>88</v>
      </c>
      <c r="G5">
        <v>12</v>
      </c>
      <c r="H5">
        <v>37</v>
      </c>
      <c r="I5">
        <v>3.1288999999999997E-2</v>
      </c>
      <c r="J5">
        <v>7</v>
      </c>
    </row>
    <row r="6" spans="1:10">
      <c r="A6">
        <v>415489</v>
      </c>
      <c r="B6" s="2" t="s">
        <v>164</v>
      </c>
      <c r="C6" s="2" t="s">
        <v>165</v>
      </c>
      <c r="D6" s="2" t="s">
        <v>353</v>
      </c>
      <c r="E6" s="2" t="s">
        <v>166</v>
      </c>
      <c r="F6">
        <v>93</v>
      </c>
      <c r="G6">
        <v>13</v>
      </c>
      <c r="H6">
        <v>24</v>
      </c>
      <c r="I6">
        <v>3.3239999999999999E-2</v>
      </c>
      <c r="J6">
        <v>4</v>
      </c>
    </row>
    <row r="7" spans="1:10">
      <c r="A7">
        <v>440495</v>
      </c>
      <c r="B7" s="2" t="s">
        <v>195</v>
      </c>
      <c r="C7" s="2" t="s">
        <v>196</v>
      </c>
      <c r="D7" s="2" t="s">
        <v>353</v>
      </c>
      <c r="E7" s="2" t="s">
        <v>18</v>
      </c>
      <c r="F7">
        <v>140</v>
      </c>
      <c r="G7">
        <v>12</v>
      </c>
      <c r="H7">
        <v>19</v>
      </c>
      <c r="I7">
        <v>4.1047E-2</v>
      </c>
      <c r="J7">
        <v>7</v>
      </c>
    </row>
    <row r="8" spans="1:10">
      <c r="A8">
        <v>570077</v>
      </c>
      <c r="B8" s="2" t="s">
        <v>227</v>
      </c>
      <c r="C8" s="2" t="s">
        <v>228</v>
      </c>
      <c r="D8" s="2" t="s">
        <v>353</v>
      </c>
      <c r="E8" s="2" t="s">
        <v>18</v>
      </c>
      <c r="F8">
        <v>114</v>
      </c>
      <c r="G8">
        <v>12</v>
      </c>
      <c r="H8">
        <v>27</v>
      </c>
      <c r="I8">
        <v>4.1723999999999997E-2</v>
      </c>
      <c r="J8">
        <v>8</v>
      </c>
    </row>
    <row r="9" spans="1:10">
      <c r="A9">
        <v>225888</v>
      </c>
      <c r="B9" s="2" t="s">
        <v>259</v>
      </c>
      <c r="C9" s="2" t="s">
        <v>260</v>
      </c>
      <c r="D9" s="2" t="s">
        <v>354</v>
      </c>
      <c r="E9" s="2" t="s">
        <v>166</v>
      </c>
      <c r="F9">
        <v>209</v>
      </c>
      <c r="G9">
        <v>19</v>
      </c>
      <c r="H9">
        <v>0</v>
      </c>
      <c r="I9">
        <v>4.3165000000000002E-2</v>
      </c>
      <c r="J9">
        <v>7</v>
      </c>
    </row>
    <row r="10" spans="1:10">
      <c r="A10">
        <v>420265</v>
      </c>
      <c r="B10" s="2" t="s">
        <v>293</v>
      </c>
      <c r="C10" s="2" t="s">
        <v>294</v>
      </c>
      <c r="D10" s="2" t="s">
        <v>354</v>
      </c>
      <c r="E10" s="2" t="s">
        <v>295</v>
      </c>
      <c r="F10">
        <v>216</v>
      </c>
      <c r="G10">
        <v>21</v>
      </c>
      <c r="H10">
        <v>0</v>
      </c>
      <c r="I10">
        <v>4.9595E-2</v>
      </c>
      <c r="J10">
        <v>8</v>
      </c>
    </row>
    <row r="11" spans="1:10">
      <c r="A11">
        <v>520288</v>
      </c>
      <c r="B11" s="2" t="s">
        <v>320</v>
      </c>
      <c r="C11" s="2" t="s">
        <v>228</v>
      </c>
      <c r="D11" s="2" t="s">
        <v>354</v>
      </c>
      <c r="E11" s="2" t="s">
        <v>18</v>
      </c>
      <c r="F11">
        <v>202</v>
      </c>
      <c r="G11">
        <v>20</v>
      </c>
      <c r="H11">
        <v>0</v>
      </c>
      <c r="I11">
        <v>4.1723999999999997E-2</v>
      </c>
      <c r="J11">
        <v>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25"/>
  <cols>
    <col min="1" max="1" width="16" customWidth="1"/>
    <col min="2" max="2" width="24" customWidth="1"/>
    <col min="3" max="3" width="25" customWidth="1"/>
    <col min="4" max="4" width="24" customWidth="1"/>
    <col min="5" max="5" width="29" customWidth="1"/>
    <col min="6" max="6" width="33" customWidth="1"/>
    <col min="7" max="7" width="32" customWidth="1"/>
  </cols>
  <sheetData>
    <row r="1" spans="1:7">
      <c r="A1" s="1" t="s">
        <v>3</v>
      </c>
      <c r="B1" s="1" t="s">
        <v>355</v>
      </c>
      <c r="C1" s="1" t="s">
        <v>356</v>
      </c>
      <c r="D1" s="1" t="s">
        <v>357</v>
      </c>
      <c r="E1" s="1" t="s">
        <v>358</v>
      </c>
      <c r="F1" s="1" t="s">
        <v>348</v>
      </c>
      <c r="G1" s="1" t="s">
        <v>349</v>
      </c>
    </row>
    <row r="2" spans="1:7">
      <c r="A2" s="2" t="s">
        <v>16</v>
      </c>
      <c r="B2">
        <f>COUNTIF(Students_Synthetic!D2:D81,A2)</f>
        <v>8</v>
      </c>
      <c r="C2">
        <f>COUNTIFS(Students_Synthetic!D2:D81,A2,Students_Synthetic!I2:I81,"הכלה מלאה")+COUNTIFS(Students_Synthetic!D2:D81,A2,Students_Synthetic!I2:I81,"הכלה חלקית")</f>
        <v>7</v>
      </c>
      <c r="D2">
        <f>COUNTIFS(Students_Synthetic!D2:D81,A2,Students_Synthetic!I2:I81,"כיתה מיוחדת בבי""ס רגיל")+COUNTIFS(Students_Synthetic!D2:D81,A2,Students_Synthetic!I2:I81,"חינוך מיוחד נפרד")</f>
        <v>1</v>
      </c>
      <c r="E2" s="5">
        <f t="shared" ref="E2:E11" si="0">IF((C2+D2)=0,"-",(C2-D2)/(C2+D2))</f>
        <v>0.75</v>
      </c>
      <c r="F2">
        <v>138</v>
      </c>
      <c r="G2">
        <v>13</v>
      </c>
    </row>
    <row r="3" spans="1:7">
      <c r="A3" s="2" t="s">
        <v>61</v>
      </c>
      <c r="B3">
        <f>COUNTIF(Students_Synthetic!D2:D81,A3)</f>
        <v>8</v>
      </c>
      <c r="C3">
        <f>COUNTIFS(Students_Synthetic!D2:D81,A3,Students_Synthetic!I2:I81,"הכלה מלאה")+COUNTIFS(Students_Synthetic!D2:D81,A3,Students_Synthetic!I2:I81,"הכלה חלקית")</f>
        <v>7</v>
      </c>
      <c r="D3">
        <f>COUNTIFS(Students_Synthetic!D2:D81,A3,Students_Synthetic!I2:I81,"כיתה מיוחדת בבי""ס רגיל")+COUNTIFS(Students_Synthetic!D2:D81,A3,Students_Synthetic!I2:I81,"חינוך מיוחד נפרד")</f>
        <v>1</v>
      </c>
      <c r="E3" s="5">
        <f t="shared" si="0"/>
        <v>0.75</v>
      </c>
      <c r="F3">
        <v>114</v>
      </c>
      <c r="G3">
        <v>14</v>
      </c>
    </row>
    <row r="4" spans="1:7">
      <c r="A4" s="2" t="s">
        <v>98</v>
      </c>
      <c r="B4">
        <f>COUNTIF(Students_Synthetic!D2:D81,A4)</f>
        <v>8</v>
      </c>
      <c r="C4">
        <f>COUNTIFS(Students_Synthetic!D2:D81,A4,Students_Synthetic!I2:I81,"הכלה מלאה")+COUNTIFS(Students_Synthetic!D2:D81,A4,Students_Synthetic!I2:I81,"הכלה חלקית")</f>
        <v>6</v>
      </c>
      <c r="D4">
        <f>COUNTIFS(Students_Synthetic!D2:D81,A4,Students_Synthetic!I2:I81,"כיתה מיוחדת בבי""ס רגיל")+COUNTIFS(Students_Synthetic!D2:D81,A4,Students_Synthetic!I2:I81,"חינוך מיוחד נפרד")</f>
        <v>2</v>
      </c>
      <c r="E4" s="5">
        <f t="shared" si="0"/>
        <v>0.5</v>
      </c>
      <c r="F4">
        <v>122</v>
      </c>
      <c r="G4">
        <v>12</v>
      </c>
    </row>
    <row r="5" spans="1:7">
      <c r="A5" s="2" t="s">
        <v>131</v>
      </c>
      <c r="B5">
        <f>COUNTIF(Students_Synthetic!D2:D81,A5)</f>
        <v>8</v>
      </c>
      <c r="C5">
        <f>COUNTIFS(Students_Synthetic!D2:D81,A5,Students_Synthetic!I2:I81,"הכלה מלאה")+COUNTIFS(Students_Synthetic!D2:D81,A5,Students_Synthetic!I2:I81,"הכלה חלקית")</f>
        <v>6</v>
      </c>
      <c r="D5">
        <f>COUNTIFS(Students_Synthetic!D2:D81,A5,Students_Synthetic!I2:I81,"כיתה מיוחדת בבי""ס רגיל")+COUNTIFS(Students_Synthetic!D2:D81,A5,Students_Synthetic!I2:I81,"חינוך מיוחד נפרד")</f>
        <v>2</v>
      </c>
      <c r="E5" s="5">
        <f t="shared" si="0"/>
        <v>0.5</v>
      </c>
      <c r="F5">
        <v>88</v>
      </c>
      <c r="G5">
        <v>12</v>
      </c>
    </row>
    <row r="6" spans="1:7">
      <c r="A6" s="2" t="s">
        <v>164</v>
      </c>
      <c r="B6">
        <f>COUNTIF(Students_Synthetic!D2:D81,A6)</f>
        <v>8</v>
      </c>
      <c r="C6">
        <f>COUNTIFS(Students_Synthetic!D2:D81,A6,Students_Synthetic!I2:I81,"הכלה מלאה")+COUNTIFS(Students_Synthetic!D2:D81,A6,Students_Synthetic!I2:I81,"הכלה חלקית")</f>
        <v>7</v>
      </c>
      <c r="D6">
        <f>COUNTIFS(Students_Synthetic!D2:D81,A6,Students_Synthetic!I2:I81,"כיתה מיוחדת בבי""ס רגיל")+COUNTIFS(Students_Synthetic!D2:D81,A6,Students_Synthetic!I2:I81,"חינוך מיוחד נפרד")</f>
        <v>1</v>
      </c>
      <c r="E6" s="5">
        <f t="shared" si="0"/>
        <v>0.75</v>
      </c>
      <c r="F6">
        <v>93</v>
      </c>
      <c r="G6">
        <v>13</v>
      </c>
    </row>
    <row r="7" spans="1:7">
      <c r="A7" s="2" t="s">
        <v>195</v>
      </c>
      <c r="B7">
        <f>COUNTIF(Students_Synthetic!D2:D81,A7)</f>
        <v>8</v>
      </c>
      <c r="C7">
        <f>COUNTIFS(Students_Synthetic!D2:D81,A7,Students_Synthetic!I2:I81,"הכלה מלאה")+COUNTIFS(Students_Synthetic!D2:D81,A7,Students_Synthetic!I2:I81,"הכלה חלקית")</f>
        <v>8</v>
      </c>
      <c r="D7">
        <f>COUNTIFS(Students_Synthetic!D2:D81,A7,Students_Synthetic!I2:I81,"כיתה מיוחדת בבי""ס רגיל")+COUNTIFS(Students_Synthetic!D2:D81,A7,Students_Synthetic!I2:I81,"חינוך מיוחד נפרד")</f>
        <v>0</v>
      </c>
      <c r="E7" s="5">
        <f t="shared" si="0"/>
        <v>1</v>
      </c>
      <c r="F7">
        <v>140</v>
      </c>
      <c r="G7">
        <v>12</v>
      </c>
    </row>
    <row r="8" spans="1:7">
      <c r="A8" s="2" t="s">
        <v>227</v>
      </c>
      <c r="B8">
        <f>COUNTIF(Students_Synthetic!D2:D81,A8)</f>
        <v>8</v>
      </c>
      <c r="C8">
        <f>COUNTIFS(Students_Synthetic!D2:D81,A8,Students_Synthetic!I2:I81,"הכלה מלאה")+COUNTIFS(Students_Synthetic!D2:D81,A8,Students_Synthetic!I2:I81,"הכלה חלקית")</f>
        <v>7</v>
      </c>
      <c r="D8">
        <f>COUNTIFS(Students_Synthetic!D2:D81,A8,Students_Synthetic!I2:I81,"כיתה מיוחדת בבי""ס רגיל")+COUNTIFS(Students_Synthetic!D2:D81,A8,Students_Synthetic!I2:I81,"חינוך מיוחד נפרד")</f>
        <v>1</v>
      </c>
      <c r="E8" s="5">
        <f t="shared" si="0"/>
        <v>0.75</v>
      </c>
      <c r="F8">
        <v>114</v>
      </c>
      <c r="G8">
        <v>12</v>
      </c>
    </row>
    <row r="9" spans="1:7">
      <c r="A9" s="2" t="s">
        <v>259</v>
      </c>
      <c r="B9">
        <f>COUNTIF(Students_Synthetic!D2:D81,A9)</f>
        <v>8</v>
      </c>
      <c r="C9">
        <f>COUNTIFS(Students_Synthetic!D2:D81,A9,Students_Synthetic!I2:I81,"הכלה מלאה")+COUNTIFS(Students_Synthetic!D2:D81,A9,Students_Synthetic!I2:I81,"הכלה חלקית")</f>
        <v>0</v>
      </c>
      <c r="D9">
        <f>COUNTIFS(Students_Synthetic!D2:D81,A9,Students_Synthetic!I2:I81,"כיתה מיוחדת בבי""ס רגיל")+COUNTIFS(Students_Synthetic!D2:D81,A9,Students_Synthetic!I2:I81,"חינוך מיוחד נפרד")</f>
        <v>8</v>
      </c>
      <c r="E9" s="5">
        <f t="shared" si="0"/>
        <v>-1</v>
      </c>
      <c r="F9">
        <v>209</v>
      </c>
      <c r="G9">
        <v>19</v>
      </c>
    </row>
    <row r="10" spans="1:7">
      <c r="A10" s="2" t="s">
        <v>293</v>
      </c>
      <c r="B10">
        <f>COUNTIF(Students_Synthetic!D2:D81,A10)</f>
        <v>8</v>
      </c>
      <c r="C10">
        <f>COUNTIFS(Students_Synthetic!D2:D81,A10,Students_Synthetic!I2:I81,"הכלה מלאה")+COUNTIFS(Students_Synthetic!D2:D81,A10,Students_Synthetic!I2:I81,"הכלה חלקית")</f>
        <v>0</v>
      </c>
      <c r="D10">
        <f>COUNTIFS(Students_Synthetic!D2:D81,A10,Students_Synthetic!I2:I81,"כיתה מיוחדת בבי""ס רגיל")+COUNTIFS(Students_Synthetic!D2:D81,A10,Students_Synthetic!I2:I81,"חינוך מיוחד נפרד")</f>
        <v>8</v>
      </c>
      <c r="E10" s="5">
        <f t="shared" si="0"/>
        <v>-1</v>
      </c>
      <c r="F10">
        <v>216</v>
      </c>
      <c r="G10">
        <v>21</v>
      </c>
    </row>
    <row r="11" spans="1:7">
      <c r="A11" s="2" t="s">
        <v>320</v>
      </c>
      <c r="B11">
        <f>COUNTIF(Students_Synthetic!D2:D81,A11)</f>
        <v>8</v>
      </c>
      <c r="C11">
        <f>COUNTIFS(Students_Synthetic!D2:D81,A11,Students_Synthetic!I2:I81,"הכלה מלאה")+COUNTIFS(Students_Synthetic!D2:D81,A11,Students_Synthetic!I2:I81,"הכלה חלקית")</f>
        <v>0</v>
      </c>
      <c r="D11">
        <f>COUNTIFS(Students_Synthetic!D2:D81,A11,Students_Synthetic!I2:I81,"כיתה מיוחדת בבי""ס רגיל")+COUNTIFS(Students_Synthetic!D2:D81,A11,Students_Synthetic!I2:I81,"חינוך מיוחד נפרד")</f>
        <v>8</v>
      </c>
      <c r="E11" s="5">
        <f t="shared" si="0"/>
        <v>-1</v>
      </c>
      <c r="F11">
        <v>202</v>
      </c>
      <c r="G11">
        <v>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9"/>
  <sheetViews>
    <sheetView zoomScaleNormal="100" workbookViewId="0"/>
  </sheetViews>
  <sheetFormatPr defaultColWidth="8.6640625" defaultRowHeight="14.25"/>
  <cols>
    <col min="1" max="1" width="125" customWidth="1"/>
  </cols>
  <sheetData>
    <row r="1" spans="1:1">
      <c r="A1" s="2" t="s">
        <v>359</v>
      </c>
    </row>
    <row r="2" spans="1:1">
      <c r="A2" s="2" t="s">
        <v>360</v>
      </c>
    </row>
    <row r="3" spans="1:1">
      <c r="A3" t="s">
        <v>361</v>
      </c>
    </row>
    <row r="4" spans="1:1">
      <c r="A4" s="2" t="s">
        <v>362</v>
      </c>
    </row>
    <row r="5" spans="1:1">
      <c r="A5" s="2" t="s">
        <v>363</v>
      </c>
    </row>
    <row r="6" spans="1:1">
      <c r="A6" t="s">
        <v>364</v>
      </c>
    </row>
    <row r="7" spans="1:1">
      <c r="A7" s="2" t="s">
        <v>365</v>
      </c>
    </row>
    <row r="8" spans="1:1">
      <c r="A8" s="2" t="s">
        <v>366</v>
      </c>
    </row>
    <row r="9" spans="1:1">
      <c r="A9" s="2" t="s">
        <v>367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Students_Synthetic</vt:lpstr>
      <vt:lpstr>Real_Schools_Reference</vt:lpstr>
      <vt:lpstr>Schools_Summary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Gil Baram</cp:lastModifiedBy>
  <cp:revision>0</cp:revision>
  <dcterms:created xsi:type="dcterms:W3CDTF">2026-07-08T06:39:37Z</dcterms:created>
  <dcterms:modified xsi:type="dcterms:W3CDTF">2026-07-13T10:45:17Z</dcterms:modified>
  <dc:language>en-US</dc:language>
</cp:coreProperties>
</file>